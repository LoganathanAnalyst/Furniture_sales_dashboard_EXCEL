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Furniture Sales Dashboard Xlxs-20251124T161657Z-1-001\"/>
    </mc:Choice>
  </mc:AlternateContent>
  <xr:revisionPtr revIDLastSave="0" documentId="13_ncr:1_{1A7C6C4D-86EB-428E-BD8B-D1489110FC16}" xr6:coauthVersionLast="47" xr6:coauthVersionMax="47" xr10:uidLastSave="{00000000-0000-0000-0000-000000000000}"/>
  <bookViews>
    <workbookView xWindow="-120" yWindow="-120" windowWidth="20730" windowHeight="11160" activeTab="2" xr2:uid="{D9FC89FC-C3E7-4E5C-A139-B4B61528EEC3}"/>
  </bookViews>
  <sheets>
    <sheet name="Sheet2" sheetId="2" r:id="rId1"/>
    <sheet name="Sheet3" sheetId="3" r:id="rId2"/>
    <sheet name="Sheet1" sheetId="4" r:id="rId3"/>
  </sheets>
  <definedNames>
    <definedName name="city">Sheet3!$E$20</definedName>
    <definedName name="citysel">Sheet3!$G$20</definedName>
    <definedName name="duration">Sheet3!$E$34</definedName>
    <definedName name="ExternalData_1" localSheetId="0" hidden="1">Sheet2!$A$1:$T$2122</definedName>
    <definedName name="profit">Sheet3!$I$10</definedName>
    <definedName name="profityoy">Sheet3!$M$10</definedName>
    <definedName name="quantity">Sheet3!$I$9</definedName>
    <definedName name="quantityyoy">Sheet3!$M$9</definedName>
    <definedName name="sales">Sheet3!$I$8</definedName>
    <definedName name="salestrends">Sheet3!$C$19</definedName>
    <definedName name="salesyoy">Sheet3!$M$8</definedName>
    <definedName name="shipmode">Sheet3!$E$48</definedName>
    <definedName name="Slicer_Region">#N/A</definedName>
    <definedName name="Slicer_Segment">#N/A</definedName>
    <definedName name="subcategory">Sheet3!$E$59</definedName>
  </definedNames>
  <calcPr calcId="18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2" i="3" l="1"/>
  <c r="I63" i="3"/>
  <c r="I64" i="3"/>
  <c r="I61" i="3"/>
  <c r="I60" i="3"/>
  <c r="E59" i="3"/>
  <c r="E48" i="3"/>
  <c r="E34" i="3"/>
  <c r="G20" i="3"/>
  <c r="G22" i="3"/>
  <c r="H26" i="3"/>
  <c r="H25" i="3"/>
  <c r="H24" i="3"/>
  <c r="H23" i="3"/>
  <c r="G23" i="3"/>
  <c r="G24" i="3"/>
  <c r="G25" i="3"/>
  <c r="G26" i="3"/>
  <c r="C19" i="3"/>
  <c r="K10" i="3"/>
  <c r="K9" i="3"/>
  <c r="K8" i="3"/>
  <c r="I10" i="3"/>
  <c r="J10" i="3"/>
  <c r="I9" i="3"/>
  <c r="J8" i="3"/>
  <c r="J9" i="3"/>
  <c r="I8" i="3"/>
  <c r="H22" i="3"/>
  <c r="I21" i="3" l="1"/>
  <c r="L9" i="3"/>
  <c r="M9" i="3" s="1"/>
  <c r="L8" i="3"/>
  <c r="M8" i="3" s="1"/>
  <c r="L10" i="3"/>
  <c r="M10" i="3" s="1"/>
  <c r="I23" i="3" l="1"/>
  <c r="I26" i="3"/>
  <c r="I22" i="3"/>
  <c r="I25" i="3"/>
  <c r="I2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70F5F6-CBE8-4870-8428-133EEBD9DBD3}"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s>
</file>

<file path=xl/sharedStrings.xml><?xml version="1.0" encoding="utf-8"?>
<sst xmlns="http://schemas.openxmlformats.org/spreadsheetml/2006/main" count="31975" uniqueCount="4433">
  <si>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</si>
  <si>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</si>
  <si>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</si>
  <si>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</si>
  <si>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</si>
  <si>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</si>
  <si>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</si>
  <si>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</si>
  <si>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</si>
  <si>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</si>
  <si>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</si>
  <si>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</si>
  <si>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</si>
  <si>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</si>
  <si>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</si>
  <si>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</si>
  <si>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</si>
  <si>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</si>
  <si>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Duratiom</t>
  </si>
  <si>
    <t>Month Name</t>
  </si>
  <si>
    <t>CA-2016-152156</t>
  </si>
  <si>
    <t>Second Class</t>
  </si>
  <si>
    <t>CG-12520</t>
  </si>
  <si>
    <t>Claire Gute</t>
  </si>
  <si>
    <t>Consumer</t>
  </si>
  <si>
    <t>United States</t>
  </si>
  <si>
    <t>Henderson</t>
  </si>
  <si>
    <t>Kentucky</t>
  </si>
  <si>
    <t>South</t>
  </si>
  <si>
    <t>FUR-BO-10001798</t>
  </si>
  <si>
    <t>Furniture</t>
  </si>
  <si>
    <t>Bookcases</t>
  </si>
  <si>
    <t>Bush Somerset Collection Bookcase</t>
  </si>
  <si>
    <t>3-Days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</si>
  <si>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</si>
  <si>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</si>
  <si>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</si>
  <si>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</si>
  <si>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</si>
  <si>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</si>
  <si>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</si>
  <si>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</si>
  <si>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</si>
  <si>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</si>
  <si>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</si>
  <si>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</si>
  <si>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</si>
  <si>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7-Days</t>
  </si>
  <si>
    <t>Oct</t>
  </si>
  <si>
    <t>CA-2014-115812</t>
  </si>
  <si>
    <t>BH-11710</t>
  </si>
  <si>
    <t>Brosina Hoffman</t>
  </si>
  <si>
    <t>Los Angeles</t>
  </si>
  <si>
    <t>California</t>
  </si>
  <si>
    <t>West</t>
  </si>
  <si>
    <t>FUR-FU-10001487</t>
  </si>
  <si>
    <t>Furnishings</t>
  </si>
  <si>
    <t>Eldon Expressions Wood and Plastic Desk Accessories, Cherry Wood</t>
  </si>
  <si>
    <t>5-Days</t>
  </si>
  <si>
    <t>Jun</t>
  </si>
  <si>
    <t>FUR-TA-10001539</t>
  </si>
  <si>
    <t>Chromcraft Rectangular Conference Tables</t>
  </si>
  <si>
    <t>US-2017-156909</t>
  </si>
  <si>
    <t>SF-20065</t>
  </si>
  <si>
    <t>Sandra Flanagan</t>
  </si>
  <si>
    <t>Philadelphia</t>
  </si>
  <si>
    <t>Pennsylvania</t>
  </si>
  <si>
    <t>East</t>
  </si>
  <si>
    <t>FUR-CH-10002774</t>
  </si>
  <si>
    <t>Global Deluxe Stacking Chair, Gray</t>
  </si>
  <si>
    <t>2-Days</t>
  </si>
  <si>
    <t>Jul</t>
  </si>
  <si>
    <t>CA-2015-106320</t>
  </si>
  <si>
    <t>EB-13870</t>
  </si>
  <si>
    <t>Emily Burns</t>
  </si>
  <si>
    <t>Orem</t>
  </si>
  <si>
    <t>Utah</t>
  </si>
  <si>
    <t>Sep</t>
  </si>
  <si>
    <t>US-2015-150630</t>
  </si>
  <si>
    <t>TB-21520</t>
  </si>
  <si>
    <t>Tracy Blumstein</t>
  </si>
  <si>
    <t>FUR-BO-10004834</t>
  </si>
  <si>
    <t>Riverside Palais Royal Lawyers Bookcase, Royale Cherry Finish</t>
  </si>
  <si>
    <t>4-Days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</si>
  <si>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</si>
  <si>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</si>
  <si>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</si>
  <si>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</si>
  <si>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</si>
  <si>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</si>
  <si>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</si>
  <si>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</si>
  <si>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</si>
  <si>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</si>
  <si>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</si>
  <si>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</si>
  <si>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</si>
  <si>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</si>
  <si>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</si>
  <si>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</si>
  <si>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</si>
  <si>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</si>
  <si>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</si>
  <si>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</si>
  <si>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</si>
  <si>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</si>
  <si>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</si>
  <si>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</si>
  <si>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</si>
  <si>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</si>
  <si>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</si>
  <si>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</si>
  <si>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</si>
  <si>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</si>
  <si>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</si>
  <si>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</si>
  <si>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</si>
  <si>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</si>
  <si>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</si>
  <si>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</si>
  <si>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</si>
  <si>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</si>
  <si>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</si>
  <si>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1-Days</t>
  </si>
  <si>
    <t>CA-2015-135545</t>
  </si>
  <si>
    <t>KM-16720</t>
  </si>
  <si>
    <t>Kunst Miller</t>
  </si>
  <si>
    <t>FUR-FU-10000397</t>
  </si>
  <si>
    <t>Luxo Economy Swing Arm Lamp</t>
  </si>
  <si>
    <t>6-Days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</si>
  <si>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</si>
  <si>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</si>
  <si>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</si>
  <si>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</si>
  <si>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</si>
  <si>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</si>
  <si>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</si>
  <si>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</si>
  <si>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</si>
  <si>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</si>
  <si>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</si>
  <si>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</si>
  <si>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</si>
  <si>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</si>
  <si>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</si>
  <si>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</si>
  <si>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</si>
  <si>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</si>
  <si>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</si>
  <si>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</si>
  <si>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</si>
  <si>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</si>
  <si>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</si>
  <si>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</si>
  <si>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</si>
  <si>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</si>
  <si>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</si>
  <si>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</si>
  <si>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</si>
  <si>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</si>
  <si>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</si>
  <si>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</si>
  <si>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</si>
  <si>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</si>
  <si>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</si>
  <si>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</si>
  <si>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</si>
  <si>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</si>
  <si>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</si>
  <si>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</si>
  <si>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</si>
  <si>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</si>
  <si>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</si>
  <si>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</si>
  <si>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</si>
  <si>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</si>
  <si>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</si>
  <si>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</si>
  <si>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</si>
  <si>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</si>
  <si>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</si>
  <si>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</si>
  <si>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</si>
  <si>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</si>
  <si>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</si>
  <si>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</si>
  <si>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</si>
  <si>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</si>
  <si>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</si>
  <si>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</si>
  <si>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</si>
  <si>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</si>
  <si>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</si>
  <si>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</si>
  <si>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</si>
  <si>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</si>
  <si>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</si>
  <si>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</si>
  <si>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</si>
  <si>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</si>
  <si>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</si>
  <si>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</si>
  <si>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</si>
  <si>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</si>
  <si>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</si>
  <si>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</si>
  <si>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</si>
  <si>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</si>
  <si>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</si>
  <si>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</si>
  <si>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</si>
  <si>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</si>
  <si>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</si>
  <si>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</si>
  <si>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</si>
  <si>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</si>
  <si>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</si>
  <si>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</si>
  <si>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</si>
  <si>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</si>
  <si>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</si>
  <si>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</si>
  <si>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</si>
  <si>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</si>
  <si>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</si>
  <si>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</si>
  <si>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</si>
  <si>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</si>
  <si>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</si>
  <si>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</si>
  <si>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</si>
  <si>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</si>
  <si>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</si>
  <si>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</si>
  <si>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</si>
  <si>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</si>
  <si>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</si>
  <si>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</si>
  <si>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</si>
  <si>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</si>
  <si>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</si>
  <si>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</si>
  <si>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</si>
  <si>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</si>
  <si>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</si>
  <si>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</si>
  <si>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</si>
  <si>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</si>
  <si>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</si>
  <si>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</si>
  <si>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</si>
  <si>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</si>
  <si>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</si>
  <si>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</si>
  <si>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</si>
  <si>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</si>
  <si>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</si>
  <si>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</si>
  <si>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</si>
  <si>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</si>
  <si>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</si>
  <si>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</si>
  <si>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</si>
  <si>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</si>
  <si>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</si>
  <si>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</si>
  <si>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</si>
  <si>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</si>
  <si>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</si>
  <si>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</si>
  <si>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</si>
  <si>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</si>
  <si>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</si>
  <si>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</si>
  <si>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</si>
  <si>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</si>
  <si>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</si>
  <si>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</si>
  <si>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</si>
  <si>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</si>
  <si>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</si>
  <si>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</si>
  <si>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</si>
  <si>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</si>
  <si>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</si>
  <si>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</si>
  <si>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</si>
  <si>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</si>
  <si>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</si>
  <si>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</si>
  <si>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</si>
  <si>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</si>
  <si>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</si>
  <si>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</si>
  <si>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</si>
  <si>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</si>
  <si>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</si>
  <si>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</si>
  <si>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</si>
  <si>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</si>
  <si>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</si>
  <si>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</si>
  <si>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</si>
  <si>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</si>
  <si>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</si>
  <si>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</si>
  <si>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</si>
  <si>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</si>
  <si>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</si>
  <si>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</si>
  <si>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</si>
  <si>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</si>
  <si>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</si>
  <si>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</si>
  <si>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</si>
  <si>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</si>
  <si>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</si>
  <si>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</si>
  <si>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</si>
  <si>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</si>
  <si>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</si>
  <si>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</si>
  <si>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</si>
  <si>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</si>
  <si>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</si>
  <si>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</si>
  <si>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</si>
  <si>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</si>
  <si>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</si>
  <si>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</si>
  <si>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</si>
  <si>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</si>
  <si>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</si>
  <si>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</si>
  <si>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</si>
  <si>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</si>
  <si>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</si>
  <si>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</si>
  <si>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</si>
  <si>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</si>
  <si>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</si>
  <si>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</si>
  <si>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</si>
  <si>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</si>
  <si>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</si>
  <si>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</si>
  <si>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</si>
  <si>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</si>
  <si>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</si>
  <si>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</si>
  <si>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</si>
  <si>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</si>
  <si>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</si>
  <si>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</si>
  <si>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</si>
  <si>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</si>
  <si>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</si>
  <si>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</si>
  <si>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</si>
  <si>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</si>
  <si>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</si>
  <si>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</si>
  <si>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</si>
  <si>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</si>
  <si>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</si>
  <si>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</si>
  <si>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</si>
  <si>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</si>
  <si>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</si>
  <si>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</si>
  <si>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</si>
  <si>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</si>
  <si>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</si>
  <si>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</si>
  <si>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</si>
  <si>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</si>
  <si>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</si>
  <si>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</si>
  <si>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</si>
  <si>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</si>
  <si>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</si>
  <si>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</si>
  <si>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</si>
  <si>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</si>
  <si>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</si>
  <si>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</si>
  <si>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</si>
  <si>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</si>
  <si>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</si>
  <si>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</si>
  <si>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</si>
  <si>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</si>
  <si>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</si>
  <si>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</si>
  <si>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</si>
  <si>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</si>
  <si>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</si>
  <si>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</si>
  <si>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</si>
  <si>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</si>
  <si>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</si>
  <si>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</si>
  <si>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</si>
  <si>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</si>
  <si>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</si>
  <si>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</si>
  <si>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</si>
  <si>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</si>
  <si>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</si>
  <si>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</si>
  <si>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</si>
  <si>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</si>
  <si>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</si>
  <si>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</si>
  <si>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</si>
  <si>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</si>
  <si>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</si>
  <si>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</si>
  <si>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</si>
  <si>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</si>
  <si>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</si>
  <si>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</si>
  <si>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</si>
  <si>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</si>
  <si>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</si>
  <si>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</si>
  <si>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</si>
  <si>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</si>
  <si>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</si>
  <si>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</si>
  <si>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</si>
  <si>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</si>
  <si>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</si>
  <si>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</si>
  <si>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</si>
  <si>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</si>
  <si>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</si>
  <si>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</si>
  <si>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</si>
  <si>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</si>
  <si>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</si>
  <si>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</si>
  <si>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</si>
  <si>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</si>
  <si>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</si>
  <si>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</si>
  <si>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</si>
  <si>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</si>
  <si>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</si>
  <si>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</si>
  <si>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</si>
  <si>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</si>
  <si>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</si>
  <si>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</si>
  <si>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</si>
  <si>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</si>
  <si>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</si>
  <si>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</si>
  <si>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</si>
  <si>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</si>
  <si>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</si>
  <si>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</si>
  <si>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</si>
  <si>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</si>
  <si>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</si>
  <si>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</si>
  <si>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</si>
  <si>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</si>
  <si>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</si>
  <si>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</si>
  <si>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</si>
  <si>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</si>
  <si>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</si>
  <si>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</si>
  <si>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</si>
  <si>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</si>
  <si>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</si>
  <si>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</si>
  <si>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</si>
  <si>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</si>
  <si>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</si>
  <si>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</si>
  <si>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</si>
  <si>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</si>
  <si>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</si>
  <si>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</si>
  <si>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</si>
  <si>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</si>
  <si>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</si>
  <si>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</si>
  <si>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</si>
  <si>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</si>
  <si>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</si>
  <si>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</si>
  <si>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</si>
  <si>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</si>
  <si>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</si>
  <si>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</si>
  <si>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</si>
  <si>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</si>
  <si>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</si>
  <si>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</si>
  <si>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</si>
  <si>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</si>
  <si>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</si>
  <si>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</si>
  <si>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</si>
  <si>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</si>
  <si>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</si>
  <si>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</si>
  <si>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</si>
  <si>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</si>
  <si>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</si>
  <si>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</si>
  <si>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</si>
  <si>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</si>
  <si>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</si>
  <si>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</si>
  <si>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</si>
  <si>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</si>
  <si>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</si>
  <si>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</si>
  <si>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</si>
  <si>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</si>
  <si>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</si>
  <si>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</si>
  <si>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</si>
  <si>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</si>
  <si>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</si>
  <si>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</si>
  <si>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</si>
  <si>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</si>
  <si>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</si>
  <si>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</si>
  <si>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</si>
  <si>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</si>
  <si>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</si>
  <si>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</si>
  <si>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</si>
  <si>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</si>
  <si>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</si>
  <si>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</si>
  <si>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</si>
  <si>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</si>
  <si>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</si>
  <si>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</si>
  <si>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</si>
  <si>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</si>
  <si>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</si>
  <si>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</si>
  <si>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</si>
  <si>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</si>
  <si>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</si>
  <si>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</si>
  <si>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</si>
  <si>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</si>
  <si>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</si>
  <si>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</si>
  <si>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</si>
  <si>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</si>
  <si>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</si>
  <si>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</si>
  <si>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</si>
  <si>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</si>
  <si>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</si>
  <si>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</si>
  <si>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</si>
  <si>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</si>
  <si>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</si>
  <si>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</si>
  <si>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</si>
  <si>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</si>
  <si>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</si>
  <si>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</si>
  <si>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</si>
  <si>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</si>
  <si>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</si>
  <si>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</si>
  <si>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</si>
  <si>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</si>
  <si>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</si>
  <si>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</si>
  <si>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</si>
  <si>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</si>
  <si>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</si>
  <si>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</si>
  <si>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</si>
  <si>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</si>
  <si>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</si>
  <si>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</si>
  <si>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</si>
  <si>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</si>
  <si>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</si>
  <si>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</si>
  <si>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</si>
  <si>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</si>
  <si>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</si>
  <si>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</si>
  <si>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</si>
  <si>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</si>
  <si>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</si>
  <si>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</si>
  <si>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</si>
  <si>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</si>
  <si>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</si>
  <si>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</si>
  <si>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</si>
  <si>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</si>
  <si>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</si>
  <si>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</si>
  <si>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</si>
  <si>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</si>
  <si>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</si>
  <si>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</si>
  <si>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</si>
  <si>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</si>
  <si>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</si>
  <si>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</si>
  <si>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</si>
  <si>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</si>
  <si>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</si>
  <si>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</si>
  <si>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</si>
  <si>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</si>
  <si>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</si>
  <si>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</si>
  <si>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</si>
  <si>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</si>
  <si>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</si>
  <si>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</si>
  <si>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</si>
  <si>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</si>
  <si>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</si>
  <si>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</si>
  <si>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</si>
  <si>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</si>
  <si>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</si>
  <si>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</si>
  <si>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</si>
  <si>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</si>
  <si>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</si>
  <si>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</si>
  <si>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</si>
  <si>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</si>
  <si>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</si>
  <si>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</si>
  <si>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</si>
  <si>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</si>
  <si>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</si>
  <si>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</si>
  <si>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</si>
  <si>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</si>
  <si>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</si>
  <si>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</si>
  <si>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</si>
  <si>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</si>
  <si>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</si>
  <si>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</si>
  <si>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</si>
  <si>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</si>
  <si>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</si>
  <si>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</si>
  <si>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</si>
  <si>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</si>
  <si>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</si>
  <si>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</si>
  <si>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</si>
  <si>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</si>
  <si>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</si>
  <si>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</si>
  <si>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</si>
  <si>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</si>
  <si>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</si>
  <si>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</si>
  <si>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</si>
  <si>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</si>
  <si>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</si>
  <si>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</si>
  <si>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</si>
  <si>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</si>
  <si>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</si>
  <si>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</si>
  <si>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</si>
  <si>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</si>
  <si>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</si>
  <si>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</si>
  <si>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</si>
  <si>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</si>
  <si>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</si>
  <si>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</si>
  <si>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</si>
  <si>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</si>
  <si>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</si>
  <si>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</si>
  <si>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</si>
  <si>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</si>
  <si>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</si>
  <si>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</si>
  <si>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</si>
  <si>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</si>
  <si>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</si>
  <si>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</si>
  <si>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</si>
  <si>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</si>
  <si>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</si>
  <si>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</si>
  <si>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</si>
  <si>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</si>
  <si>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</si>
  <si>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</si>
  <si>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</si>
  <si>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</si>
  <si>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</si>
  <si>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</si>
  <si>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</si>
  <si>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</si>
  <si>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</si>
  <si>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</si>
  <si>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</si>
  <si>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</si>
  <si>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</si>
  <si>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</si>
  <si>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</si>
  <si>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</si>
  <si>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</si>
  <si>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</si>
  <si>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</si>
  <si>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</si>
  <si>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</si>
  <si>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</si>
  <si>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</si>
  <si>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</si>
  <si>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</si>
  <si>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</si>
  <si>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</si>
  <si>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</si>
  <si>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</si>
  <si>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</si>
  <si>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</si>
  <si>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</si>
  <si>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</si>
  <si>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</si>
  <si>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</si>
  <si>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</si>
  <si>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</si>
  <si>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</si>
  <si>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</si>
  <si>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</si>
  <si>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</si>
  <si>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</si>
  <si>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</si>
  <si>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</si>
  <si>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</si>
  <si>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</si>
  <si>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</si>
  <si>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</si>
  <si>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</si>
  <si>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</si>
  <si>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</si>
  <si>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</si>
  <si>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</si>
  <si>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</si>
  <si>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</si>
  <si>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</si>
  <si>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</si>
  <si>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</si>
  <si>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</si>
  <si>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</si>
  <si>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</si>
  <si>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</si>
  <si>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</si>
  <si>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</si>
  <si>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</si>
  <si>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</si>
  <si>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</si>
  <si>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</si>
  <si>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</si>
  <si>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</si>
  <si>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</si>
  <si>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</si>
  <si>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</si>
  <si>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</si>
  <si>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</si>
  <si>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</si>
  <si>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</si>
  <si>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</si>
  <si>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</si>
  <si>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</si>
  <si>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</si>
  <si>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</si>
  <si>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</si>
  <si>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</si>
  <si>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</si>
  <si>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</si>
  <si>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</si>
  <si>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</si>
  <si>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</si>
  <si>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</si>
  <si>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</si>
  <si>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</si>
  <si>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</si>
  <si>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</si>
  <si>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</si>
  <si>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</si>
  <si>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</si>
  <si>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</si>
  <si>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</si>
  <si>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</si>
  <si>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</si>
  <si>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</si>
  <si>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</si>
  <si>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</si>
  <si>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</si>
  <si>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</si>
  <si>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</si>
  <si>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</si>
  <si>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</si>
  <si>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</si>
  <si>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</si>
  <si>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</si>
  <si>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</si>
  <si>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</si>
  <si>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</si>
  <si>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</si>
  <si>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</si>
  <si>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</si>
  <si>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</si>
  <si>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</si>
  <si>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</si>
  <si>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</si>
  <si>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</si>
  <si>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</si>
  <si>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</si>
  <si>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</si>
  <si>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</si>
  <si>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</si>
  <si>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</si>
  <si>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</si>
  <si>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</si>
  <si>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</si>
  <si>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</si>
  <si>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</si>
  <si>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</si>
  <si>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</si>
  <si>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</si>
  <si>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</si>
  <si>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</si>
  <si>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</si>
  <si>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</si>
  <si>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</si>
  <si>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</si>
  <si>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</si>
  <si>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</si>
  <si>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</si>
  <si>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</si>
  <si>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</si>
  <si>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</si>
  <si>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</si>
  <si>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</si>
  <si>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</si>
  <si>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</si>
  <si>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</si>
  <si>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</si>
  <si>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</si>
  <si>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</si>
  <si>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</si>
  <si>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</si>
  <si>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</si>
  <si>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</si>
  <si>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</si>
  <si>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</si>
  <si>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</si>
  <si>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</si>
  <si>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</si>
  <si>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</si>
  <si>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</si>
  <si>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</si>
  <si>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</si>
  <si>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</si>
  <si>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</si>
  <si>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</si>
  <si>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</si>
  <si>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</si>
  <si>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</si>
  <si>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</si>
  <si>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</si>
  <si>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</si>
  <si>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</si>
  <si>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</si>
  <si>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</si>
  <si>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</si>
  <si>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</si>
  <si>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</si>
  <si>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</si>
  <si>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</si>
  <si>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</si>
  <si>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</si>
  <si>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</si>
  <si>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</si>
  <si>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</si>
  <si>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</si>
  <si>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</si>
  <si>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</si>
  <si>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</si>
  <si>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</si>
  <si>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</si>
  <si>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</si>
  <si>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</si>
  <si>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</si>
  <si>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</si>
  <si>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</si>
  <si>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</si>
  <si>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</si>
  <si>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</si>
  <si>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</si>
  <si>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</si>
  <si>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</si>
  <si>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</si>
  <si>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</si>
  <si>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</si>
  <si>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</si>
  <si>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</si>
  <si>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</si>
  <si>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</si>
  <si>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</si>
  <si>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</si>
  <si>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</si>
  <si>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</si>
  <si>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</si>
  <si>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</si>
  <si>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</si>
  <si>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</si>
  <si>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</si>
  <si>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</si>
  <si>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</si>
  <si>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</si>
  <si>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</si>
  <si>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</si>
  <si>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</si>
  <si>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</si>
  <si>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</si>
  <si>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</si>
  <si>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</si>
  <si>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</si>
  <si>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</si>
  <si>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</si>
  <si>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</si>
  <si>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</si>
  <si>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</si>
  <si>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</si>
  <si>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</si>
  <si>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</si>
  <si>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</si>
  <si>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</si>
  <si>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</si>
  <si>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</si>
  <si>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</si>
  <si>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</si>
  <si>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</si>
  <si>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</si>
  <si>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</si>
  <si>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</si>
  <si>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</si>
  <si>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</si>
  <si>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</si>
  <si>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</si>
  <si>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</si>
  <si>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</si>
  <si>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</si>
  <si>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</si>
  <si>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</si>
  <si>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</si>
  <si>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</si>
  <si>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</si>
  <si>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</si>
  <si>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</si>
  <si>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</si>
  <si>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</si>
  <si>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</si>
  <si>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</si>
  <si>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</si>
  <si>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</si>
  <si>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</si>
  <si>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</si>
  <si>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</si>
  <si>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</si>
  <si>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</si>
  <si>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</si>
  <si>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</si>
  <si>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</si>
  <si>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</si>
  <si>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</si>
  <si>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</si>
  <si>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</si>
  <si>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</si>
  <si>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</si>
  <si>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</si>
  <si>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</si>
  <si>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</si>
  <si>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</si>
  <si>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</si>
  <si>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</si>
  <si>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</si>
  <si>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</si>
  <si>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</si>
  <si>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</si>
  <si>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</si>
  <si>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</si>
  <si>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</si>
  <si>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</si>
  <si>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</si>
  <si>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</si>
  <si>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</si>
  <si>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</si>
  <si>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</si>
  <si>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</si>
  <si>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</si>
  <si>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</si>
  <si>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</si>
  <si>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</si>
  <si>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</si>
  <si>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</si>
  <si>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</si>
  <si>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</si>
  <si>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</si>
  <si>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</si>
  <si>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</si>
  <si>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</si>
  <si>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</si>
  <si>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</si>
  <si>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</si>
  <si>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</si>
  <si>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</si>
  <si>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</si>
  <si>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</si>
  <si>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</si>
  <si>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</si>
  <si>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</si>
  <si>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</si>
  <si>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</si>
  <si>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</si>
  <si>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</si>
  <si>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</si>
  <si>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</si>
  <si>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</si>
  <si>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</si>
  <si>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</si>
  <si>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</si>
  <si>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</si>
  <si>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</si>
  <si>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</si>
  <si>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</si>
  <si>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</si>
  <si>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</si>
  <si>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</si>
  <si>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</si>
  <si>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</si>
  <si>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</si>
  <si>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</si>
  <si>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</si>
  <si>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</si>
  <si>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</si>
  <si>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</si>
  <si>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</si>
  <si>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</si>
  <si>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</si>
  <si>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</si>
  <si>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</si>
  <si>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</si>
  <si>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</si>
  <si>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</si>
  <si>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</si>
  <si>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</si>
  <si>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</si>
  <si>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</si>
  <si>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</si>
  <si>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</si>
  <si>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</si>
  <si>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</si>
  <si>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</si>
  <si>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</si>
  <si>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</si>
  <si>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</si>
  <si>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</si>
  <si>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</si>
  <si>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</si>
  <si>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</si>
  <si>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</si>
  <si>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</si>
  <si>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</si>
  <si>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</si>
  <si>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</si>
  <si>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</si>
  <si>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</si>
  <si>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</si>
  <si>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</si>
  <si>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</si>
  <si>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</si>
  <si>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</si>
  <si>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</si>
  <si>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</si>
  <si>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</si>
  <si>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</si>
  <si>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</si>
  <si>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</si>
  <si>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</si>
  <si>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</si>
  <si>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</si>
  <si>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</si>
  <si>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</si>
  <si>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</si>
  <si>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</si>
  <si>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</si>
  <si>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</si>
  <si>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</si>
  <si>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</si>
  <si>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</si>
  <si>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</si>
  <si>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</si>
  <si>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</si>
  <si>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</si>
  <si>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</si>
  <si>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</si>
  <si>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</si>
  <si>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</si>
  <si>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</si>
  <si>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</si>
  <si>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</si>
  <si>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</si>
  <si>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</si>
  <si>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</si>
  <si>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</si>
  <si>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</si>
  <si>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</si>
  <si>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</si>
  <si>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</si>
  <si>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</si>
  <si>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</si>
  <si>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</si>
  <si>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</si>
  <si>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</si>
  <si>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</si>
  <si>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</si>
  <si>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</si>
  <si>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</si>
  <si>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</si>
  <si>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</si>
  <si>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</si>
  <si>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</si>
  <si>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</si>
  <si>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</si>
  <si>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</si>
  <si>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</si>
  <si>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</si>
  <si>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</si>
  <si>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</si>
  <si>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</si>
  <si>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</si>
  <si>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</si>
  <si>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</si>
  <si>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</si>
  <si>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</si>
  <si>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</si>
  <si>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</si>
  <si>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</si>
  <si>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</si>
  <si>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</si>
  <si>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</si>
  <si>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</si>
  <si>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</si>
  <si>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</si>
  <si>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</si>
  <si>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</si>
  <si>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</si>
  <si>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</si>
  <si>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</si>
  <si>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</si>
  <si>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</si>
  <si>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</si>
  <si>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</si>
  <si>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</si>
  <si>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</si>
  <si>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</si>
  <si>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</si>
  <si>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</si>
  <si>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</si>
  <si>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</si>
  <si>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</si>
  <si>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</si>
  <si>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</si>
  <si>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</si>
  <si>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</si>
  <si>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</si>
  <si>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</si>
  <si>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</si>
  <si>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</si>
  <si>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</si>
  <si>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</si>
  <si>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</si>
  <si>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</si>
  <si>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</si>
  <si>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</si>
  <si>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</si>
  <si>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</si>
  <si>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</si>
  <si>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</si>
  <si>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</si>
  <si>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</si>
  <si>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</si>
  <si>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</si>
  <si>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</si>
  <si>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</si>
  <si>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</si>
  <si>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</si>
  <si>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</si>
  <si>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</si>
  <si>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</si>
  <si>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</si>
  <si>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</si>
  <si>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</si>
  <si>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</si>
  <si>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</si>
  <si>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</si>
  <si>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</si>
  <si>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</si>
  <si>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</si>
  <si>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</si>
  <si>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</si>
  <si>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</si>
  <si>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</si>
  <si>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</si>
  <si>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</si>
  <si>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</si>
  <si>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</si>
  <si>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</si>
  <si>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</si>
  <si>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</si>
  <si>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</si>
  <si>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</si>
  <si>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</si>
  <si>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</si>
  <si>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</si>
  <si>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</si>
  <si>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</si>
  <si>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</si>
  <si>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</si>
  <si>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</si>
  <si>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</si>
  <si>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</si>
  <si>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</si>
  <si>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</si>
  <si>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</si>
  <si>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</si>
  <si>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</si>
  <si>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</si>
  <si>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</si>
  <si>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</si>
  <si>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</si>
  <si>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</si>
  <si>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</si>
  <si>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</si>
  <si>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</si>
  <si>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</si>
  <si>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</si>
  <si>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</si>
  <si>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</si>
  <si>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</si>
  <si>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</si>
  <si>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</si>
  <si>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</si>
  <si>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</si>
  <si>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</si>
  <si>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</si>
  <si>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</si>
  <si>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</si>
  <si>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</si>
  <si>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</si>
  <si>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</si>
  <si>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</si>
  <si>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</si>
  <si>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</si>
  <si>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</si>
  <si>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</si>
  <si>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</si>
  <si>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</si>
  <si>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</si>
  <si>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</si>
  <si>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</si>
  <si>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</si>
  <si>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</si>
  <si>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</si>
  <si>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</si>
  <si>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</si>
  <si>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</si>
  <si>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</si>
  <si>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</si>
  <si>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</si>
  <si>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</si>
  <si>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</si>
  <si>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</si>
  <si>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</si>
  <si>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</si>
  <si>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</si>
  <si>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</si>
  <si>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</si>
  <si>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</si>
  <si>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</si>
  <si>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</si>
  <si>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</si>
  <si>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</si>
  <si>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</si>
  <si>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</si>
  <si>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</si>
  <si>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</si>
  <si>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</si>
  <si>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</si>
  <si>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</si>
  <si>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</si>
  <si>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</si>
  <si>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</si>
  <si>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</si>
  <si>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</si>
  <si>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</si>
  <si>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</si>
  <si>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</si>
  <si>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</si>
  <si>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</si>
  <si>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</si>
  <si>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</si>
  <si>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</si>
  <si>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</si>
  <si>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</si>
  <si>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</si>
  <si>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</si>
  <si>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</si>
  <si>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</si>
  <si>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</si>
  <si>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</si>
  <si>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</si>
  <si>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</si>
  <si>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</si>
  <si>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</si>
  <si>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</si>
  <si>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</si>
  <si>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</si>
  <si>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</si>
  <si>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</si>
  <si>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</si>
  <si>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</si>
  <si>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</si>
  <si>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</si>
  <si>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</si>
  <si>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</si>
  <si>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</si>
  <si>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</si>
  <si>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</si>
  <si>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</si>
  <si>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</si>
  <si>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</si>
  <si>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</si>
  <si>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</si>
  <si>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</si>
  <si>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</si>
  <si>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</si>
  <si>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</si>
  <si>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</si>
  <si>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</si>
  <si>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</si>
  <si>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</si>
  <si>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</si>
  <si>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</si>
  <si>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</si>
  <si>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</si>
  <si>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</si>
  <si>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</si>
  <si>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</si>
  <si>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</si>
  <si>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</si>
  <si>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</si>
  <si>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</si>
  <si>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</si>
  <si>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</si>
  <si>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</si>
  <si>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</si>
  <si>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</si>
  <si>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</si>
  <si>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</si>
  <si>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</si>
  <si>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</si>
  <si>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</si>
  <si>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</si>
  <si>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</si>
  <si>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</si>
  <si>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</si>
  <si>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</si>
  <si>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</si>
  <si>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</si>
  <si>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</si>
  <si>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</si>
  <si>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</si>
  <si>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</si>
  <si>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</si>
  <si>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</si>
  <si>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</si>
  <si>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</si>
  <si>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</si>
  <si>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</si>
  <si>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</si>
  <si>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</si>
  <si>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</si>
  <si>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</si>
  <si>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</si>
  <si>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</si>
  <si>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</si>
  <si>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</si>
  <si>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</si>
  <si>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</si>
  <si>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</si>
  <si>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</si>
  <si>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</si>
  <si>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</si>
  <si>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</si>
  <si>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</si>
  <si>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</si>
  <si>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</si>
  <si>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</si>
  <si>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</si>
  <si>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</si>
  <si>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</si>
  <si>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</si>
  <si>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</si>
  <si>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</si>
  <si>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</si>
  <si>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</si>
  <si>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</si>
  <si>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</si>
  <si>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</si>
  <si>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</si>
  <si>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</si>
  <si>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</si>
  <si>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</si>
  <si>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</si>
  <si>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</si>
  <si>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</si>
  <si>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</si>
  <si>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</si>
  <si>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</si>
  <si>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</si>
  <si>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</si>
  <si>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</si>
  <si>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</si>
  <si>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</si>
  <si>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</si>
  <si>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</si>
  <si>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</si>
  <si>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</si>
  <si>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</si>
  <si>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</si>
  <si>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</si>
  <si>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</si>
  <si>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</si>
  <si>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</si>
  <si>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</si>
  <si>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</si>
  <si>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</si>
  <si>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</si>
  <si>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</si>
  <si>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</si>
  <si>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</si>
  <si>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</si>
  <si>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</si>
  <si>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</si>
  <si>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</si>
  <si>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</si>
  <si>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</si>
  <si>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</si>
  <si>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</si>
  <si>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</si>
  <si>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</si>
  <si>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</si>
  <si>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</si>
  <si>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</si>
  <si>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</si>
  <si>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</si>
  <si>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</si>
  <si>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</si>
  <si>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</si>
  <si>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</si>
  <si>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</si>
  <si>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</si>
  <si>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</si>
  <si>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</si>
  <si>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</si>
  <si>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</si>
  <si>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</si>
  <si>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</si>
  <si>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</si>
  <si>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</si>
  <si>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</si>
  <si>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</si>
  <si>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</si>
  <si>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</si>
  <si>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</si>
  <si>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</si>
  <si>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</si>
  <si>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</si>
  <si>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</si>
  <si>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</si>
  <si>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</si>
  <si>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</si>
  <si>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</si>
  <si>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</si>
  <si>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</si>
  <si>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</si>
  <si>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</si>
  <si>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</si>
  <si>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</si>
  <si>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</si>
  <si>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</si>
  <si>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</si>
  <si>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</si>
  <si>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</si>
  <si>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</si>
  <si>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</si>
  <si>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</si>
  <si>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</si>
  <si>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</si>
  <si>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</si>
  <si>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</si>
  <si>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</si>
  <si>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</si>
  <si>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</si>
  <si>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</si>
  <si>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</si>
  <si>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</si>
  <si>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</si>
  <si>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</si>
  <si>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</si>
  <si>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</si>
  <si>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</si>
  <si>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</si>
  <si>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</si>
  <si>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</si>
  <si>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</si>
  <si>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</si>
  <si>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</si>
  <si>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</si>
  <si>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</si>
  <si>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</si>
  <si>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</si>
  <si>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</si>
  <si>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</si>
  <si>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</si>
  <si>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</si>
  <si>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</si>
  <si>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</si>
  <si>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</si>
  <si>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</si>
  <si>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</si>
  <si>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</si>
  <si>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</si>
  <si>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</si>
  <si>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</si>
  <si>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</si>
  <si>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</si>
  <si>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</si>
  <si>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</si>
  <si>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</si>
  <si>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</si>
  <si>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</si>
  <si>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</si>
  <si>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</si>
  <si>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</si>
  <si>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</si>
  <si>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</si>
  <si>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</si>
  <si>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</si>
  <si>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</si>
  <si>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</si>
  <si>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</si>
  <si>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</si>
  <si>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</si>
  <si>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</si>
  <si>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</si>
  <si>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</si>
  <si>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</si>
  <si>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</si>
  <si>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</si>
  <si>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</si>
  <si>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</si>
  <si>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</si>
  <si>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</si>
  <si>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</si>
  <si>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</si>
  <si>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</si>
  <si>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</si>
  <si>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</si>
  <si>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</si>
  <si>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</si>
  <si>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</si>
  <si>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</si>
  <si>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</si>
  <si>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</si>
  <si>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</si>
  <si>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</si>
  <si>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</si>
  <si>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</si>
  <si>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</si>
  <si>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</si>
  <si>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</si>
  <si>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</si>
  <si>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</si>
  <si>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</si>
  <si>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</si>
  <si>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</si>
  <si>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</si>
  <si>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</si>
  <si>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</si>
  <si>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</si>
  <si>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</si>
  <si>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</si>
  <si>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</si>
  <si>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</si>
  <si>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</si>
  <si>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</si>
  <si>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</si>
  <si>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</si>
  <si>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</si>
  <si>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</si>
  <si>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</si>
  <si>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</si>
  <si>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</si>
  <si>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</si>
  <si>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</si>
  <si>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</si>
  <si>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</si>
  <si>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</si>
  <si>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</si>
  <si>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</si>
  <si>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</si>
  <si>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</si>
  <si>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</si>
  <si>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</si>
  <si>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</si>
  <si>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</si>
  <si>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</si>
  <si>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</si>
  <si>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</si>
  <si>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</si>
  <si>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</si>
  <si>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</si>
  <si>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</si>
  <si>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</si>
  <si>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</si>
  <si>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</si>
  <si>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</si>
  <si>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</si>
  <si>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</si>
  <si>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</si>
  <si>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</si>
  <si>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</si>
  <si>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</si>
  <si>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</si>
  <si>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</si>
  <si>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</si>
  <si>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</si>
  <si>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</si>
  <si>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</si>
  <si>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</si>
  <si>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</si>
  <si>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</si>
  <si>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</si>
  <si>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</si>
  <si>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</si>
  <si>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</si>
  <si>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</si>
  <si>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</si>
  <si>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</si>
  <si>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</si>
  <si>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</si>
  <si>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</si>
  <si>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</si>
  <si>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</si>
  <si>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</si>
  <si>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</si>
  <si>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</si>
  <si>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</si>
  <si>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</si>
  <si>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</si>
  <si>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</si>
  <si>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</si>
  <si>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</si>
  <si>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</si>
  <si>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</si>
  <si>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</si>
  <si>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</si>
  <si>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</si>
  <si>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</si>
  <si>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</si>
  <si>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</si>
  <si>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</si>
  <si>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</si>
  <si>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</si>
  <si>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</si>
  <si>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</si>
  <si>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</si>
  <si>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</si>
  <si>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</si>
  <si>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</si>
  <si>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</si>
  <si>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</si>
  <si>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</si>
  <si>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</si>
  <si>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</si>
  <si>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</si>
  <si>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</si>
  <si>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</si>
  <si>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</si>
  <si>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</si>
  <si>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</si>
  <si>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</si>
  <si>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</si>
  <si>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</si>
  <si>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</si>
  <si>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</si>
  <si>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</si>
  <si>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</si>
  <si>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</si>
  <si>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</si>
  <si>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</si>
  <si>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</si>
  <si>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</si>
  <si>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</si>
  <si>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</si>
  <si>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</si>
  <si>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</si>
  <si>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</si>
  <si>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</si>
  <si>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</si>
  <si>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</si>
  <si>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</si>
  <si>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</si>
  <si>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</si>
  <si>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</si>
  <si>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</si>
  <si>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</si>
  <si>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</si>
  <si>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</si>
  <si>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</si>
  <si>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</si>
  <si>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</si>
  <si>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</si>
  <si>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</si>
  <si>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</si>
  <si>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</si>
  <si>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</si>
  <si>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</si>
  <si>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</si>
  <si>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</si>
  <si>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</si>
  <si>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</si>
  <si>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</si>
  <si>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</si>
  <si>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</si>
  <si>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</si>
  <si>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</si>
  <si>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</si>
  <si>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</si>
  <si>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</si>
  <si>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</si>
  <si>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</si>
  <si>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</si>
  <si>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</si>
  <si>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</si>
  <si>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</si>
  <si>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</si>
  <si>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</si>
  <si>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</si>
  <si>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</si>
  <si>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</si>
  <si>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</si>
  <si>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</si>
  <si>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</si>
  <si>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</si>
  <si>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</si>
  <si>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</si>
  <si>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</si>
  <si>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</si>
  <si>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</si>
  <si>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</si>
  <si>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</si>
  <si>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</si>
  <si>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</si>
  <si>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</si>
  <si>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</si>
  <si>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</si>
  <si>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</si>
  <si>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</si>
  <si>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</si>
  <si>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</si>
  <si>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</si>
  <si>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</si>
  <si>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</si>
  <si>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</si>
  <si>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</si>
  <si>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</si>
  <si>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</si>
  <si>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</si>
  <si>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</si>
  <si>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</si>
  <si>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</si>
  <si>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</si>
  <si>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</si>
  <si>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</si>
  <si>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</si>
  <si>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</si>
  <si>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</si>
  <si>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</si>
  <si>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</si>
  <si>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</si>
  <si>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</si>
  <si>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</si>
  <si>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</si>
  <si>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</si>
  <si>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</si>
  <si>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</si>
  <si>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</si>
  <si>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</si>
  <si>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</si>
  <si>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</si>
  <si>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</si>
  <si>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</si>
  <si>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</si>
  <si>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</si>
  <si>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</si>
  <si>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</si>
  <si>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</si>
  <si>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</si>
  <si>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</si>
  <si>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</si>
  <si>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</si>
  <si>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</si>
  <si>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</si>
  <si>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</si>
  <si>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</si>
  <si>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</si>
  <si>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</si>
  <si>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</si>
  <si>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</si>
  <si>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</si>
  <si>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</si>
  <si>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</si>
  <si>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</si>
  <si>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</si>
  <si>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</si>
  <si>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</si>
  <si>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</si>
  <si>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</si>
  <si>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</si>
  <si>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</si>
  <si>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</si>
  <si>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</si>
  <si>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</si>
  <si>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</si>
  <si>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</si>
  <si>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</si>
  <si>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</si>
  <si>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</si>
  <si>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</si>
  <si>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</si>
  <si>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</si>
  <si>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</si>
  <si>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</si>
  <si>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</si>
  <si>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</si>
  <si>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</si>
  <si>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</si>
  <si>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</si>
  <si>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</si>
  <si>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</si>
  <si>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</si>
  <si>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</si>
  <si>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</si>
  <si>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</si>
  <si>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</si>
  <si>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</si>
  <si>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</si>
  <si>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</si>
  <si>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</si>
  <si>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</si>
  <si>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</si>
  <si>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</si>
  <si>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</si>
  <si>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</si>
  <si>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</si>
  <si>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</si>
  <si>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</si>
  <si>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</si>
  <si>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</si>
  <si>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</si>
  <si>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</si>
  <si>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</si>
  <si>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</si>
  <si>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</si>
  <si>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</si>
  <si>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</si>
  <si>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</si>
  <si>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</si>
  <si>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</si>
  <si>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</si>
  <si>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</si>
  <si>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</si>
  <si>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</si>
  <si>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</si>
  <si>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</si>
  <si>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</si>
  <si>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</si>
  <si>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</si>
  <si>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</si>
  <si>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</si>
  <si>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</si>
  <si>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</si>
  <si>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</si>
  <si>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</si>
  <si>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</si>
  <si>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</si>
  <si>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</si>
  <si>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</si>
  <si>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</si>
  <si>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</si>
  <si>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</si>
  <si>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</si>
  <si>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</si>
  <si>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</si>
  <si>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</si>
  <si>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</si>
  <si>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</si>
  <si>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</si>
  <si>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</si>
  <si>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</si>
  <si>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</si>
  <si>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</si>
  <si>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</si>
  <si>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</si>
  <si>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</si>
  <si>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</si>
  <si>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</si>
  <si>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</si>
  <si>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</si>
  <si>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</si>
  <si>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</si>
  <si>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</si>
  <si>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</si>
  <si>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</si>
  <si>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</si>
  <si>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</si>
  <si>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</si>
  <si>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</si>
  <si>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</si>
  <si>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</si>
  <si>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</si>
  <si>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</si>
  <si>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</si>
  <si>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</si>
  <si>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</si>
  <si>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</si>
  <si>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</si>
  <si>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</si>
  <si>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</si>
  <si>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</si>
  <si>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</si>
  <si>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</si>
  <si>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</si>
  <si>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</si>
  <si>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</si>
  <si>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</si>
  <si>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</si>
  <si>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</si>
  <si>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</si>
  <si>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</si>
  <si>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</si>
  <si>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</si>
  <si>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</si>
  <si>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</si>
  <si>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</si>
  <si>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</si>
  <si>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</si>
  <si>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</si>
  <si>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</si>
  <si>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</si>
  <si>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</si>
  <si>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</si>
  <si>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</si>
  <si>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</si>
  <si>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</si>
  <si>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</si>
  <si>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</si>
  <si>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</si>
  <si>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</si>
  <si>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</si>
  <si>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</si>
  <si>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</si>
  <si>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</si>
  <si>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</si>
  <si>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</si>
  <si>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</si>
  <si>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</si>
  <si>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</si>
  <si>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</si>
  <si>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</si>
  <si>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</si>
  <si>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</si>
  <si>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</si>
  <si>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</si>
  <si>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</si>
  <si>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</si>
  <si>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</si>
  <si>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</si>
  <si>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</si>
  <si>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</si>
  <si>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</si>
  <si>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</si>
  <si>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</si>
  <si>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</si>
  <si>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</si>
  <si>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</si>
  <si>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</si>
  <si>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</si>
  <si>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</si>
  <si>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</si>
  <si>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</si>
  <si>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</si>
  <si>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</si>
  <si>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</si>
  <si>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</si>
  <si>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</si>
  <si>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</si>
  <si>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</si>
  <si>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</si>
  <si>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</si>
  <si>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</si>
  <si>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</si>
  <si>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</si>
  <si>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</si>
  <si>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</si>
  <si>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</si>
  <si>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</si>
  <si>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</si>
  <si>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</si>
  <si>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</si>
  <si>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</si>
  <si>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</si>
  <si>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</si>
  <si>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</si>
  <si>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</si>
  <si>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</si>
  <si>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</si>
  <si>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</si>
  <si>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</si>
  <si>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</si>
  <si>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</si>
  <si>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</si>
  <si>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</si>
  <si>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</si>
  <si>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</si>
  <si>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</si>
  <si>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</si>
  <si>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</si>
  <si>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</si>
  <si>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</si>
  <si>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</si>
  <si>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</si>
  <si>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</si>
  <si>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</si>
  <si>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</si>
  <si>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</si>
  <si>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</si>
  <si>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</si>
  <si>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</si>
  <si>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</si>
  <si>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</si>
  <si>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</si>
  <si>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</si>
  <si>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</si>
  <si>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</si>
  <si>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</si>
  <si>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</si>
  <si>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</si>
  <si>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</si>
  <si>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</si>
  <si>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</si>
  <si>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</si>
  <si>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</si>
  <si>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</si>
  <si>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</si>
  <si>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</si>
  <si>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</si>
  <si>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</si>
  <si>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</si>
  <si>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</si>
  <si>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</si>
  <si>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</si>
  <si>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</si>
  <si>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</si>
  <si>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</si>
  <si>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</si>
  <si>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</si>
  <si>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</si>
  <si>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</si>
  <si>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</si>
  <si>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</si>
  <si>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</si>
  <si>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</si>
  <si>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</si>
  <si>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</si>
  <si>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</si>
  <si>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</si>
  <si>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</si>
  <si>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</si>
  <si>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</si>
  <si>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</si>
  <si>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</si>
  <si>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</si>
  <si>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</si>
  <si>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</si>
  <si>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</si>
  <si>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</si>
  <si>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</si>
  <si>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</si>
  <si>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</si>
  <si>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</si>
  <si>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</si>
  <si>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</si>
  <si>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</si>
  <si>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</si>
  <si>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</si>
  <si>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</si>
  <si>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</si>
  <si>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</si>
  <si>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</si>
  <si>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</si>
  <si>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</si>
  <si>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</si>
  <si>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</si>
  <si>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</si>
  <si>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</si>
  <si>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</si>
  <si>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</si>
  <si>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</si>
  <si>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</si>
  <si>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</si>
  <si>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</si>
  <si>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</si>
  <si>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</si>
  <si>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</si>
  <si>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</si>
  <si>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</si>
  <si>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</si>
  <si>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</si>
  <si>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</si>
  <si>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</si>
  <si>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</si>
  <si>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</si>
  <si>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</si>
  <si>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</si>
  <si>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</si>
  <si>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</si>
  <si>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</si>
  <si>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</si>
  <si>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</si>
  <si>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</si>
  <si>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</si>
  <si>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</si>
  <si>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</si>
  <si>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</si>
  <si>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</si>
  <si>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</si>
  <si>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</si>
  <si>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</si>
  <si>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</si>
  <si>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</si>
  <si>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</si>
  <si>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</si>
  <si>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</si>
  <si>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</si>
  <si>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</si>
  <si>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</si>
  <si>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</si>
  <si>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</si>
  <si>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</si>
  <si>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</si>
  <si>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</si>
  <si>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</si>
  <si>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</si>
  <si>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</si>
  <si>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</si>
  <si>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</si>
  <si>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</si>
  <si>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</si>
  <si>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</si>
  <si>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</si>
  <si>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</si>
  <si>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</si>
  <si>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</si>
  <si>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</si>
  <si>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</si>
  <si>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</si>
  <si>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</si>
  <si>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</si>
  <si>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</si>
  <si>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</si>
  <si>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</si>
  <si>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</si>
  <si>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</si>
  <si>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</si>
  <si>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</si>
  <si>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</si>
  <si>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</si>
  <si>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</si>
  <si>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</si>
  <si>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</si>
  <si>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</si>
  <si>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</si>
  <si>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</si>
  <si>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</si>
  <si>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</si>
  <si>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</si>
  <si>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</si>
  <si>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</si>
  <si>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</si>
  <si>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</si>
  <si>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</si>
  <si>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</si>
  <si>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</si>
  <si>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</si>
  <si>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</si>
  <si>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</si>
  <si>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</si>
  <si>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</si>
  <si>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</si>
  <si>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</si>
  <si>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</si>
  <si>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</si>
  <si>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</si>
  <si>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</si>
  <si>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</si>
  <si>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</si>
  <si>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</si>
  <si>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</si>
  <si>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</si>
  <si>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</si>
  <si>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</si>
  <si>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</si>
  <si>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</si>
  <si>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</si>
  <si>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</si>
  <si>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</si>
  <si>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</si>
  <si>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</si>
  <si>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</si>
  <si>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</si>
  <si>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</si>
  <si>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</si>
  <si>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</si>
  <si>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</si>
  <si>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</si>
  <si>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</si>
  <si>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</si>
  <si>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</si>
  <si>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</si>
  <si>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</si>
  <si>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</si>
  <si>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</si>
  <si>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</si>
  <si>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</si>
  <si>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</si>
  <si>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</si>
  <si>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</si>
  <si>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</si>
  <si>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</si>
  <si>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</si>
  <si>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</si>
  <si>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</si>
  <si>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</si>
  <si>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</si>
  <si>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</si>
  <si>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</si>
  <si>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</si>
  <si>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</si>
  <si>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</si>
  <si>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</si>
  <si>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</si>
  <si>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</si>
  <si>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</si>
  <si>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</si>
  <si>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</si>
  <si>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</si>
  <si>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</si>
  <si>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</si>
  <si>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</si>
  <si>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</si>
  <si>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</si>
  <si>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</si>
  <si>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</si>
  <si>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</si>
  <si>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</si>
  <si>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</si>
  <si>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</si>
  <si>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</si>
  <si>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</si>
  <si>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</si>
  <si>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</si>
  <si>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</si>
  <si>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</si>
  <si>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</si>
  <si>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</si>
  <si>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</si>
  <si>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</si>
  <si>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</si>
  <si>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</si>
  <si>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</si>
  <si>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</si>
  <si>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</si>
  <si>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</si>
  <si>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</si>
  <si>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</si>
  <si>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</si>
  <si>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</si>
  <si>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</si>
  <si>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</si>
  <si>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</si>
  <si>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</si>
  <si>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</si>
  <si>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</si>
  <si>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</si>
  <si>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</si>
  <si>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</si>
  <si>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</si>
  <si>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</si>
  <si>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</si>
  <si>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</si>
  <si>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</si>
  <si>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</si>
  <si>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</si>
  <si>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</si>
  <si>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</si>
  <si>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</si>
  <si>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</si>
  <si>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</si>
  <si>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</si>
  <si>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</si>
  <si>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</si>
  <si>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</si>
  <si>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</si>
  <si>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</si>
  <si>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</si>
  <si>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</si>
  <si>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</si>
  <si>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</si>
  <si>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</si>
  <si>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</si>
  <si>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</si>
  <si>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</si>
  <si>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</si>
  <si>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</si>
  <si>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</si>
  <si>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</si>
  <si>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</si>
  <si>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</si>
  <si>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</si>
  <si>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</si>
  <si>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</si>
  <si>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</si>
  <si>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</si>
  <si>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</si>
  <si>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</si>
  <si>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</si>
  <si>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</si>
  <si>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</si>
  <si>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</si>
  <si>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</si>
  <si>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</si>
  <si>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</si>
  <si>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</si>
  <si>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</si>
  <si>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</si>
  <si>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</si>
  <si>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</si>
  <si>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</si>
  <si>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</si>
  <si>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</si>
  <si>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</si>
  <si>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</si>
  <si>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</si>
  <si>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</si>
  <si>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</si>
  <si>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</si>
  <si>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</si>
  <si>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</si>
  <si>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</si>
  <si>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</si>
  <si>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</si>
  <si>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</si>
  <si>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</si>
  <si>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</si>
  <si>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</si>
  <si>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</si>
  <si>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</si>
  <si>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</si>
  <si>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</si>
  <si>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</si>
  <si>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</si>
  <si>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</si>
  <si>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</si>
  <si>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</si>
  <si>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</si>
  <si>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</si>
  <si>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</si>
  <si>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</si>
  <si>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</si>
  <si>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</si>
  <si>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</si>
  <si>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</si>
  <si>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</si>
  <si>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</si>
  <si>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</si>
  <si>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</si>
  <si>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</si>
  <si>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</si>
  <si>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</si>
  <si>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</si>
  <si>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</si>
  <si>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</si>
  <si>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</si>
  <si>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</si>
  <si>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</si>
  <si>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</si>
  <si>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</si>
  <si>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</si>
  <si>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</si>
  <si>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</si>
  <si>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</si>
  <si>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</si>
  <si>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</si>
  <si>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</si>
  <si>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</si>
  <si>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</si>
  <si>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</si>
  <si>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</si>
  <si>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</si>
  <si>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</si>
  <si>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</si>
  <si>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</si>
  <si>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</si>
  <si>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</si>
  <si>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</si>
  <si>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</si>
  <si>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</si>
  <si>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</si>
  <si>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</si>
  <si>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</si>
  <si>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</si>
  <si>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</si>
  <si>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</si>
  <si>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</si>
  <si>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</si>
  <si>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</si>
  <si>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</si>
  <si>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</si>
  <si>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</si>
  <si>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</si>
  <si>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</si>
  <si>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</si>
  <si>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</si>
  <si>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</si>
  <si>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</si>
  <si>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</si>
  <si>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</si>
  <si>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</si>
  <si>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</si>
  <si>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</si>
  <si>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</si>
  <si>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</si>
  <si>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</si>
  <si>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</si>
  <si>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</si>
  <si>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</si>
  <si>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</si>
  <si>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</si>
  <si>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</si>
  <si>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</si>
  <si>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</si>
  <si>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</si>
  <si>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</si>
  <si>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</si>
  <si>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</si>
  <si>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</si>
  <si>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</si>
  <si>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</si>
  <si>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</si>
  <si>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</si>
  <si>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</si>
  <si>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</si>
  <si>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</si>
  <si>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</si>
  <si>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</si>
  <si>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</si>
  <si>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</si>
  <si>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</si>
  <si>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</si>
  <si>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</si>
  <si>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</si>
  <si>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</si>
  <si>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</si>
  <si>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</si>
  <si>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</si>
  <si>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</si>
  <si>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</si>
  <si>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</si>
  <si>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</si>
  <si>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</si>
  <si>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</si>
  <si>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</si>
  <si>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</si>
  <si>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</si>
  <si>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</si>
  <si>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</si>
  <si>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</si>
  <si>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</si>
  <si>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</si>
  <si>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</si>
  <si>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</si>
  <si>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</si>
  <si>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</si>
  <si>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</si>
  <si>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</si>
  <si>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</si>
  <si>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</si>
  <si>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</si>
  <si>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</si>
  <si>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</si>
  <si>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</si>
  <si>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</si>
  <si>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</si>
  <si>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</si>
  <si>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</si>
  <si>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</si>
  <si>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</si>
  <si>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</si>
  <si>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</si>
  <si>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</si>
  <si>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</si>
  <si>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</si>
  <si>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</si>
  <si>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</si>
  <si>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</si>
  <si>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</si>
  <si>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</si>
  <si>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</si>
  <si>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</si>
  <si>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</si>
  <si>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</si>
  <si>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</si>
  <si>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</si>
  <si>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</si>
  <si>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</si>
  <si>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</si>
  <si>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</si>
  <si>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</si>
  <si>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</si>
  <si>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</si>
  <si>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</si>
  <si>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</si>
  <si>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</si>
  <si>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</si>
  <si>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</si>
  <si>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</si>
  <si>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</si>
  <si>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</si>
  <si>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</si>
  <si>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</si>
  <si>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</si>
  <si>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</si>
  <si>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</si>
  <si>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</si>
  <si>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</si>
  <si>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</si>
  <si>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</si>
  <si>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</si>
  <si>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</si>
  <si>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</si>
  <si>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</si>
  <si>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</si>
  <si>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</si>
  <si>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</si>
  <si>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</si>
  <si>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</si>
  <si>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</si>
  <si>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</si>
  <si>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</si>
  <si>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</si>
  <si>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</si>
  <si>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</si>
  <si>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</si>
  <si>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</si>
  <si>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</si>
  <si>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</si>
  <si>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</si>
  <si>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</si>
  <si>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</si>
  <si>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</si>
  <si>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</si>
  <si>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</si>
  <si>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</si>
  <si>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</si>
  <si>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</si>
  <si>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</si>
  <si>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</si>
  <si>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</si>
  <si>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</si>
  <si>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</si>
  <si>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</si>
  <si>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</si>
  <si>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</si>
  <si>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</si>
  <si>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</si>
  <si>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</si>
  <si>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</si>
  <si>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</si>
  <si>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</si>
  <si>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</si>
  <si>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</si>
  <si>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</si>
  <si>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</si>
  <si>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</si>
  <si>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</si>
  <si>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</si>
  <si>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</si>
  <si>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</si>
  <si>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</si>
  <si>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</si>
  <si>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</si>
  <si>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</si>
  <si>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</si>
  <si>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</si>
  <si>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</si>
  <si>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</si>
  <si>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</si>
  <si>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</si>
  <si>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</si>
  <si>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</si>
  <si>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</si>
  <si>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</si>
  <si>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</si>
  <si>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</si>
  <si>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</si>
  <si>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</si>
  <si>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</si>
  <si>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</si>
  <si>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</si>
  <si>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</si>
  <si>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</si>
  <si>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</si>
  <si>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</si>
  <si>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</si>
  <si>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</si>
  <si>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</si>
  <si>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</si>
  <si>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</si>
  <si>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</si>
  <si>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</si>
  <si>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</si>
  <si>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</si>
  <si>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</si>
  <si>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</si>
  <si>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</si>
  <si>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</si>
  <si>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</si>
  <si>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</si>
  <si>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</si>
  <si>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</si>
  <si>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</si>
  <si>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</si>
  <si>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</si>
  <si>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</si>
  <si>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</si>
  <si>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</si>
  <si>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</si>
  <si>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</si>
  <si>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</si>
  <si>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</si>
  <si>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</si>
  <si>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</si>
  <si>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</si>
  <si>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</si>
  <si>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</si>
  <si>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</si>
  <si>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</si>
  <si>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</si>
  <si>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</si>
  <si>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</si>
  <si>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</si>
  <si>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</si>
  <si>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</si>
  <si>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</si>
  <si>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</si>
  <si>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</si>
  <si>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</si>
  <si>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</si>
  <si>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</si>
  <si>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</si>
  <si>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</si>
  <si>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</si>
  <si>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</si>
  <si>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</si>
  <si>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</si>
  <si>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</si>
  <si>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</si>
  <si>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</si>
  <si>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</si>
  <si>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</si>
  <si>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</si>
  <si>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</si>
  <si>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</si>
  <si>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</si>
  <si>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</si>
  <si>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</si>
  <si>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</si>
  <si>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</si>
  <si>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</si>
  <si>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</si>
  <si>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</si>
  <si>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</si>
  <si>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</si>
  <si>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</si>
  <si>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</si>
  <si>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</si>
  <si>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</si>
  <si>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</si>
  <si>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</si>
  <si>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</si>
  <si>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</si>
  <si>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</si>
  <si>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</si>
  <si>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</si>
  <si>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</si>
  <si>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</si>
  <si>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</si>
  <si>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</si>
  <si>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</si>
  <si>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</si>
  <si>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</si>
  <si>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</si>
  <si>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</si>
  <si>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</si>
  <si>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</si>
  <si>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</si>
  <si>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</si>
  <si>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</si>
  <si>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</si>
  <si>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</si>
  <si>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</si>
  <si>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</si>
  <si>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</si>
  <si>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</si>
  <si>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</si>
  <si>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</si>
  <si>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</si>
  <si>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</si>
  <si>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</si>
  <si>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</si>
  <si>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</si>
  <si>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</si>
  <si>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</si>
  <si>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</si>
  <si>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</si>
  <si>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</si>
  <si>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</si>
  <si>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</si>
  <si>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</si>
  <si>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</si>
  <si>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</si>
  <si>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</si>
  <si>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</si>
  <si>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</si>
  <si>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</si>
  <si>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</si>
  <si>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</si>
  <si>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</si>
  <si>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</si>
  <si>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</si>
  <si>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</si>
  <si>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</si>
  <si>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</si>
  <si>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</si>
  <si>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</si>
  <si>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</si>
  <si>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</si>
  <si>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</si>
  <si>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</si>
  <si>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</si>
  <si>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</si>
  <si>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</si>
  <si>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</si>
  <si>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</si>
  <si>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</si>
  <si>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</si>
  <si>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</si>
  <si>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</si>
  <si>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</si>
  <si>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</si>
  <si>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</si>
  <si>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</si>
  <si>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</si>
  <si>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</si>
  <si>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</si>
  <si>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</si>
  <si>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</si>
  <si>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</si>
  <si>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</si>
  <si>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</si>
  <si>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</si>
  <si>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</si>
  <si>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</si>
  <si>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</si>
  <si>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</si>
  <si>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</si>
  <si>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</si>
  <si>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</si>
  <si>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</si>
  <si>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</si>
  <si>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</si>
  <si>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</si>
  <si>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</si>
  <si>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</si>
  <si>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</si>
  <si>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</si>
  <si>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</si>
  <si>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</si>
  <si>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</si>
  <si>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</si>
  <si>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</si>
  <si>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</si>
  <si>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</si>
  <si>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</si>
  <si>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</si>
  <si>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</si>
  <si>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</si>
  <si>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</si>
  <si>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</si>
  <si>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</si>
  <si>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</si>
  <si>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</si>
  <si>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</si>
  <si>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</si>
  <si>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</si>
  <si>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</si>
  <si>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</si>
  <si>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</si>
  <si>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</si>
  <si>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</si>
  <si>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</si>
  <si>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</si>
  <si>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</si>
  <si>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</si>
  <si>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</si>
  <si>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</si>
  <si>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</si>
  <si>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</si>
  <si>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</si>
  <si>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</si>
  <si>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</si>
  <si>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</si>
  <si>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</si>
  <si>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</si>
  <si>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</si>
  <si>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</si>
  <si>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</si>
  <si>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</si>
  <si>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</si>
  <si>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</si>
  <si>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</si>
  <si>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</si>
  <si>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</si>
  <si>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</si>
  <si>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</si>
  <si>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</si>
  <si>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</si>
  <si>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</si>
  <si>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</si>
  <si>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</si>
  <si>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</si>
  <si>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</si>
  <si>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</si>
  <si>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</si>
  <si>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</si>
  <si>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</si>
  <si>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</si>
  <si>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</si>
  <si>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</si>
  <si>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</si>
  <si>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</si>
  <si>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</si>
  <si>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</si>
  <si>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</si>
  <si>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</si>
  <si>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</si>
  <si>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</si>
  <si>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</si>
  <si>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</si>
  <si>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</si>
  <si>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</si>
  <si>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</si>
  <si>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</si>
  <si>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</si>
  <si>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</si>
  <si>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</si>
  <si>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</si>
  <si>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</si>
  <si>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</si>
  <si>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</si>
  <si>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</si>
  <si>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</si>
  <si>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</si>
  <si>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</si>
  <si>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</si>
  <si>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</si>
  <si>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</si>
  <si>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</si>
  <si>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</si>
  <si>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</si>
  <si>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</si>
  <si>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</si>
  <si>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</si>
  <si>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</si>
  <si>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</si>
  <si>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</si>
  <si>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</si>
  <si>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</si>
  <si>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</si>
  <si>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</si>
  <si>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</si>
  <si>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</si>
  <si>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</si>
  <si>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</si>
  <si>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</si>
  <si>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</si>
  <si>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</si>
  <si>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</si>
  <si>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</si>
  <si>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</si>
  <si>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</si>
  <si>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</si>
  <si>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</si>
  <si>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</si>
  <si>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</si>
  <si>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</si>
  <si>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</si>
  <si>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</si>
  <si>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</si>
  <si>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</si>
  <si>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</si>
  <si>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</si>
  <si>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</si>
  <si>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</si>
  <si>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</si>
  <si>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</si>
  <si>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</si>
  <si>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</si>
  <si>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</si>
  <si>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</si>
  <si>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</si>
  <si>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</si>
  <si>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</si>
  <si>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</si>
  <si>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</si>
  <si>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</si>
  <si>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</si>
  <si>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</si>
  <si>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</si>
  <si>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</si>
  <si>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</si>
  <si>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</si>
  <si>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</si>
  <si>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</si>
  <si>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</si>
  <si>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</si>
  <si>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</si>
  <si>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</si>
  <si>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</si>
  <si>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</si>
  <si>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</si>
  <si>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</si>
  <si>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</si>
  <si>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</si>
  <si>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</si>
  <si>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</si>
  <si>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</si>
  <si>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</si>
  <si>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</si>
  <si>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</si>
  <si>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</si>
  <si>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</si>
  <si>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</si>
  <si>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</si>
  <si>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</si>
  <si>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</si>
  <si>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</si>
  <si>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</si>
  <si>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</si>
  <si>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</si>
  <si>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</si>
  <si>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</si>
  <si>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</si>
  <si>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</si>
  <si>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</si>
  <si>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</si>
  <si>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</si>
  <si>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</si>
  <si>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</si>
  <si>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</si>
  <si>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</si>
  <si>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</si>
  <si>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</si>
  <si>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</si>
  <si>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</si>
  <si>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</si>
  <si>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</si>
  <si>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</si>
  <si>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</si>
  <si>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</si>
  <si>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</si>
  <si>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</si>
  <si>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</si>
  <si>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</si>
  <si>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</si>
  <si>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</si>
  <si>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</si>
  <si>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</si>
  <si>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</si>
  <si>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</si>
  <si>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</si>
  <si>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</si>
  <si>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</si>
  <si>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</si>
  <si>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</si>
  <si>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</si>
  <si>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</si>
  <si>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</si>
  <si>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</si>
  <si>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</si>
  <si>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</si>
  <si>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</si>
  <si>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</si>
  <si>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</si>
  <si>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</si>
  <si>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</si>
  <si>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</si>
  <si>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</si>
  <si>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</si>
  <si>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</si>
  <si>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</si>
  <si>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</si>
  <si>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</si>
  <si>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</si>
  <si>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</si>
  <si>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</si>
  <si>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</si>
  <si>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</si>
  <si>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</si>
  <si>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</si>
  <si>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</si>
  <si>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</si>
  <si>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</si>
  <si>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</si>
  <si>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</si>
  <si>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</si>
  <si>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</si>
  <si>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</si>
  <si>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</si>
  <si>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</si>
  <si>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</si>
  <si>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</si>
  <si>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</si>
  <si>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</si>
  <si>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</si>
  <si>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</si>
  <si>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</si>
  <si>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</si>
  <si>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</si>
  <si>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</si>
  <si>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</si>
  <si>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</si>
  <si>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</si>
  <si>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</si>
  <si>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</si>
  <si>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</si>
  <si>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</si>
  <si>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</si>
  <si>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</si>
  <si>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</si>
  <si>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</si>
  <si>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</si>
  <si>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</si>
  <si>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</si>
  <si>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</si>
  <si>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</si>
  <si>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</si>
  <si>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</si>
  <si>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</si>
  <si>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</si>
  <si>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</si>
  <si>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</si>
  <si>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</si>
  <si>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</si>
  <si>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</si>
  <si>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</si>
  <si>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</si>
  <si>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</si>
  <si>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</si>
  <si>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</si>
  <si>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</si>
  <si>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</si>
  <si>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</si>
  <si>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</si>
  <si>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</si>
  <si>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</si>
  <si>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</si>
  <si>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</si>
  <si>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</si>
  <si>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</si>
  <si>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</si>
  <si>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</si>
  <si>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</si>
  <si>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</si>
  <si>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</si>
  <si>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</si>
  <si>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</si>
  <si>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</si>
  <si>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</si>
  <si>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</si>
  <si>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</si>
  <si>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</si>
  <si>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</si>
  <si>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</si>
  <si>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</si>
  <si>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</si>
  <si>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</si>
  <si>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</si>
  <si>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</si>
  <si>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</si>
  <si>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</si>
  <si>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</si>
  <si>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</si>
  <si>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</si>
  <si>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</si>
  <si>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</si>
  <si>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</si>
  <si>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</si>
  <si>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</si>
  <si>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</si>
  <si>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</si>
  <si>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</si>
  <si>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</si>
  <si>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</si>
  <si>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</si>
  <si>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</si>
  <si>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</si>
  <si>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</si>
  <si>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</si>
  <si>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</si>
  <si>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</si>
  <si>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</si>
  <si>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</si>
  <si>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</si>
  <si>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</si>
  <si>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</si>
  <si>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</si>
  <si>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</si>
  <si>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</si>
  <si>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</si>
  <si>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</si>
  <si>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</si>
  <si>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</si>
  <si>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</si>
  <si>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</si>
  <si>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</si>
  <si>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</si>
  <si>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</si>
  <si>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</si>
  <si>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</si>
  <si>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</si>
  <si>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</si>
  <si>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</si>
  <si>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</si>
  <si>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</si>
  <si>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</si>
  <si>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</si>
  <si>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</si>
  <si>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</si>
  <si>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</si>
  <si>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</si>
  <si>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</si>
  <si>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</si>
  <si>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</si>
  <si>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</si>
  <si>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</si>
  <si>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</si>
  <si>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</si>
  <si>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</si>
  <si>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</si>
  <si>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</si>
  <si>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</si>
  <si>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</si>
  <si>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</si>
  <si>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</si>
  <si>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</si>
  <si>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</si>
  <si>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</si>
  <si>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</si>
  <si>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</si>
  <si>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</si>
  <si>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</si>
  <si>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</si>
  <si>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</si>
  <si>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</si>
  <si>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</si>
  <si>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</si>
  <si>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</si>
  <si>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</si>
  <si>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</si>
  <si>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</si>
  <si>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</si>
  <si>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</si>
  <si>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</si>
  <si>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</si>
  <si>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</si>
  <si>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</si>
  <si>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</si>
  <si>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</si>
  <si>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</si>
  <si>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</si>
  <si>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</si>
  <si>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</si>
  <si>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</si>
  <si>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</si>
  <si>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</si>
  <si>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</si>
  <si>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</si>
  <si>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</si>
  <si>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</si>
  <si>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</si>
  <si>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</si>
  <si>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</si>
  <si>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</si>
  <si>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</si>
  <si>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</si>
  <si>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</si>
  <si>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</si>
  <si>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</si>
  <si>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</si>
  <si>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</si>
  <si>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</si>
  <si>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</si>
  <si>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</si>
  <si>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</si>
  <si>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</si>
  <si>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</si>
  <si>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</si>
  <si>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</si>
  <si>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</si>
  <si>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</si>
  <si>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</si>
  <si>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</si>
  <si>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</si>
  <si>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</si>
  <si>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</si>
  <si>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</si>
  <si>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</si>
  <si>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</si>
  <si>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</si>
  <si>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</si>
  <si>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</si>
  <si>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</si>
  <si>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</si>
  <si>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</si>
  <si>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</si>
  <si>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</si>
  <si>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</si>
  <si>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</si>
  <si>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</si>
  <si>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</si>
  <si>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</si>
  <si>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</si>
  <si>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</si>
  <si>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</si>
  <si>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</si>
  <si>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</si>
  <si>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</si>
  <si>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</si>
  <si>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</si>
  <si>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</si>
  <si>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</si>
  <si>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</si>
  <si>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</si>
  <si>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</si>
  <si>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</si>
  <si>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</si>
  <si>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</si>
  <si>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</si>
  <si>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</si>
  <si>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</si>
  <si>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</si>
  <si>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</si>
  <si>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</si>
  <si>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</si>
  <si>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</si>
  <si>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</si>
  <si>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</si>
  <si>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</si>
  <si>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</si>
  <si>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</si>
  <si>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</si>
  <si>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</si>
  <si>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</si>
  <si>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</si>
  <si>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</si>
  <si>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</si>
  <si>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</si>
  <si>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</si>
  <si>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</si>
  <si>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</si>
  <si>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</si>
  <si>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</si>
  <si>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</si>
  <si>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</si>
  <si>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</si>
  <si>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</si>
  <si>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</si>
  <si>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</si>
  <si>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</si>
  <si>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</si>
  <si>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</si>
  <si>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</si>
  <si>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</si>
  <si>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</si>
  <si>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</si>
  <si>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</si>
  <si>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</si>
  <si>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</si>
  <si>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</si>
  <si>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</si>
  <si>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</si>
  <si>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</si>
  <si>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</si>
  <si>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</si>
  <si>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</si>
  <si>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</si>
  <si>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</si>
  <si>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</si>
  <si>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</si>
  <si>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</si>
  <si>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</si>
  <si>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</si>
  <si>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</si>
  <si>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</si>
  <si>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</si>
  <si>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</si>
  <si>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</si>
  <si>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</si>
  <si>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</si>
  <si>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</si>
  <si>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</si>
  <si>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</si>
  <si>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</si>
  <si>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</si>
  <si>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</si>
  <si>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</si>
  <si>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</si>
  <si>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</si>
  <si>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</si>
  <si>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</si>
  <si>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</si>
  <si>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</si>
  <si>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</si>
  <si>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</si>
  <si>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</si>
  <si>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</si>
  <si>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</si>
  <si>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</si>
  <si>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</si>
  <si>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</si>
  <si>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</si>
  <si>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</si>
  <si>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</si>
  <si>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</si>
  <si>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</si>
  <si>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</si>
  <si>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</si>
  <si>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</si>
  <si>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</si>
  <si>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</si>
  <si>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</si>
  <si>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</si>
  <si>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</si>
  <si>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</si>
  <si>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</si>
  <si>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</si>
  <si>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</si>
  <si>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</si>
  <si>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</si>
  <si>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</si>
  <si>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</si>
  <si>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</si>
  <si>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</si>
  <si>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</si>
  <si>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</si>
  <si>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</si>
  <si>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</si>
  <si>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</si>
  <si>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</si>
  <si>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</si>
  <si>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</si>
  <si>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</si>
  <si>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</si>
  <si>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</si>
  <si>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</si>
  <si>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</si>
  <si>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</si>
  <si>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</si>
  <si>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</si>
  <si>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</si>
  <si>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</si>
  <si>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</si>
  <si>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</si>
  <si>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</si>
  <si>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</si>
  <si>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</si>
  <si>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</si>
  <si>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</si>
  <si>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</si>
  <si>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</si>
  <si>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</si>
  <si>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</si>
  <si>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</si>
  <si>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</si>
  <si>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</si>
  <si>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</si>
  <si>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</si>
  <si>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</si>
  <si>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</si>
  <si>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</si>
  <si>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</si>
  <si>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</si>
  <si>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</si>
  <si>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</si>
  <si>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</si>
  <si>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</si>
  <si>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</si>
  <si>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</si>
  <si>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</si>
  <si>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</si>
  <si>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</si>
  <si>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</si>
  <si>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</si>
  <si>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</si>
  <si>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</si>
  <si>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</si>
  <si>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</si>
  <si>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</si>
  <si>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</si>
  <si>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</si>
  <si>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</si>
  <si>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</si>
  <si>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</si>
  <si>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</si>
  <si>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</si>
  <si>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</si>
  <si>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</si>
  <si>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</si>
  <si>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</si>
  <si>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</si>
  <si>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</si>
  <si>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</si>
  <si>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</si>
  <si>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</si>
  <si>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</si>
  <si>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</si>
  <si>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</si>
  <si>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</si>
  <si>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</si>
  <si>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</si>
  <si>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</si>
  <si>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</si>
  <si>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</si>
  <si>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</si>
  <si>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</si>
  <si>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</si>
  <si>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</si>
  <si>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</si>
  <si>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</si>
  <si>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</si>
  <si>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</si>
  <si>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</si>
  <si>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</si>
  <si>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</si>
  <si>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</si>
  <si>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</si>
  <si>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</si>
  <si>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</si>
  <si>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</si>
  <si>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</si>
  <si>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</si>
  <si>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</si>
  <si>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</si>
  <si>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</si>
  <si>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</si>
  <si>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</si>
  <si>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</si>
  <si>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</si>
  <si>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</si>
  <si>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</si>
  <si>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</si>
  <si>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</si>
  <si>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</si>
  <si>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</si>
  <si>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</si>
  <si>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</si>
  <si>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</si>
  <si>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</si>
  <si>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</si>
  <si>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</si>
  <si>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</si>
  <si>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</si>
  <si>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</si>
  <si>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</si>
  <si>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</si>
  <si>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</si>
  <si>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</si>
  <si>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</si>
  <si>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</si>
  <si>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</si>
  <si>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</si>
  <si>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</si>
  <si>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</si>
  <si>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</si>
  <si>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</si>
  <si>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</si>
  <si>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</si>
  <si>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</si>
  <si>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</si>
  <si>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</si>
  <si>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</si>
  <si>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</si>
  <si>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</si>
  <si>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</si>
  <si>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</si>
  <si>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</si>
  <si>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</si>
  <si>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</si>
  <si>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</si>
  <si>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</si>
  <si>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</si>
  <si>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</si>
  <si>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</si>
  <si>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</si>
  <si>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</si>
  <si>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</si>
  <si>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</si>
  <si>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</si>
  <si>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</si>
  <si>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</si>
  <si>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</si>
  <si>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</si>
  <si>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</si>
  <si>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</si>
  <si>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</si>
  <si>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</si>
  <si>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</si>
  <si>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</si>
  <si>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</si>
  <si>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</si>
  <si>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</si>
  <si>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</si>
  <si>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</si>
  <si>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</si>
  <si>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</si>
  <si>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</si>
  <si>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</si>
  <si>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</si>
  <si>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</si>
  <si>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</si>
  <si>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</si>
  <si>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</si>
  <si>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</si>
  <si>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</si>
  <si>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</si>
  <si>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</si>
  <si>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</si>
  <si>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</si>
  <si>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</si>
  <si>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</si>
  <si>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</si>
  <si>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</si>
  <si>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</si>
  <si>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</si>
  <si>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</si>
  <si>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</si>
  <si>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</si>
  <si>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</si>
  <si>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</si>
  <si>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</si>
  <si>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</si>
  <si>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</si>
  <si>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</si>
  <si>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</si>
  <si>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</si>
  <si>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</si>
  <si>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</si>
  <si>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</si>
  <si>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</si>
  <si>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</si>
  <si>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</si>
  <si>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</si>
  <si>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</si>
  <si>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</si>
  <si>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</si>
  <si>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</si>
  <si>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</si>
  <si>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</si>
  <si>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</si>
  <si>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</si>
  <si>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</si>
  <si>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</si>
  <si>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</si>
  <si>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</si>
  <si>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</si>
  <si>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</si>
  <si>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</si>
  <si>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</si>
  <si>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</si>
  <si>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</si>
  <si>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</si>
  <si>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</si>
  <si>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</si>
  <si>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</si>
  <si>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</si>
  <si>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</si>
  <si>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</si>
  <si>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</si>
  <si>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</si>
  <si>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</si>
  <si>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</si>
  <si>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</si>
  <si>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</si>
  <si>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</si>
  <si>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</si>
  <si>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</si>
  <si>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</si>
  <si>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</si>
  <si>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</si>
  <si>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</si>
  <si>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</si>
  <si>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</si>
  <si>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</si>
  <si>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</si>
  <si>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</si>
  <si>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</si>
  <si>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</si>
  <si>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</si>
  <si>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</si>
  <si>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</si>
  <si>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</si>
  <si>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</si>
  <si>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</si>
  <si>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</si>
  <si>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</si>
  <si>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</si>
  <si>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</si>
  <si>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</si>
  <si>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</si>
  <si>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</si>
  <si>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</si>
  <si>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</si>
  <si>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</si>
  <si>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</si>
  <si>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</si>
  <si>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</si>
  <si>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</si>
  <si>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</si>
  <si>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</si>
  <si>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</si>
  <si>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</si>
  <si>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</si>
  <si>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</si>
  <si>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</si>
  <si>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</si>
  <si>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</si>
  <si>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</si>
  <si>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</si>
  <si>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</si>
  <si>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</si>
  <si>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</si>
  <si>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</si>
  <si>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</si>
  <si>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</si>
  <si>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</si>
  <si>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</si>
  <si>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</si>
  <si>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</si>
  <si>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</si>
  <si>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</si>
  <si>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</si>
  <si>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</si>
  <si>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</si>
  <si>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</si>
  <si>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</si>
  <si>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</si>
  <si>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</si>
  <si>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</si>
  <si>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</si>
  <si>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</si>
  <si>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</si>
  <si>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</si>
  <si>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</si>
  <si>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</si>
  <si>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</si>
  <si>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</si>
  <si>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</si>
  <si>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</si>
  <si>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</si>
  <si>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</si>
  <si>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</si>
  <si>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</si>
  <si>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</si>
  <si>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</si>
  <si>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</si>
  <si>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</si>
  <si>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</si>
  <si>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</si>
  <si>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</si>
  <si>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</si>
  <si>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</si>
  <si>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</si>
  <si>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</si>
  <si>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</si>
  <si>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</si>
  <si>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</si>
  <si>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</si>
  <si>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</si>
  <si>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</si>
  <si>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</si>
  <si>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</si>
  <si>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</si>
  <si>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</si>
  <si>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</si>
  <si>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</si>
  <si>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</si>
  <si>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</si>
  <si>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</si>
  <si>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</si>
  <si>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</si>
  <si>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</si>
  <si>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</si>
  <si>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</si>
  <si>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</si>
  <si>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</si>
  <si>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</si>
  <si>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</si>
  <si>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</si>
  <si>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</si>
  <si>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</si>
  <si>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</si>
  <si>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</si>
  <si>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</si>
  <si>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</si>
  <si>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</si>
  <si>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</si>
  <si>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</si>
  <si>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</si>
  <si>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</si>
  <si>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</si>
  <si>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</si>
  <si>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</si>
  <si>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</si>
  <si>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</si>
  <si>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</si>
  <si>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</si>
  <si>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</si>
  <si>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</si>
  <si>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</si>
  <si>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</si>
  <si>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</si>
  <si>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</si>
  <si>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</si>
  <si>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</si>
  <si>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</si>
  <si>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</si>
  <si>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</si>
  <si>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</si>
  <si>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</si>
  <si>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</si>
  <si>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</si>
  <si>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</si>
  <si>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</si>
  <si>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</si>
  <si>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</si>
  <si>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</si>
  <si>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</si>
  <si>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</si>
  <si>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</si>
  <si>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</si>
  <si>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</si>
  <si>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</si>
  <si>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</si>
  <si>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</si>
  <si>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</si>
  <si>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</si>
  <si>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</si>
  <si>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</si>
  <si>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</si>
  <si>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</si>
  <si>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</si>
  <si>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</si>
  <si>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</si>
  <si>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</si>
  <si>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</si>
  <si>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</si>
  <si>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</si>
  <si>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</si>
  <si>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</si>
  <si>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</si>
  <si>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</si>
  <si>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</si>
  <si>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</si>
  <si>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</si>
  <si>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</si>
  <si>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</si>
  <si>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</si>
  <si>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</si>
  <si>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</si>
  <si>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</si>
  <si>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</si>
  <si>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</si>
  <si>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</si>
  <si>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</si>
  <si>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</si>
  <si>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</si>
  <si>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</si>
  <si>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</si>
  <si>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</si>
  <si>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</si>
  <si>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</si>
  <si>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</si>
  <si>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</si>
  <si>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</si>
  <si>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</si>
  <si>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</si>
  <si>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</si>
  <si>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</si>
  <si>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</si>
  <si>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</si>
  <si>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</si>
  <si>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</si>
  <si>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</si>
  <si>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</si>
  <si>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</si>
  <si>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</si>
  <si>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</si>
  <si>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</si>
  <si>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</si>
  <si>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</si>
  <si>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</si>
  <si>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</si>
  <si>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</si>
  <si>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</si>
  <si>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</si>
  <si>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</si>
  <si>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</si>
  <si>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</si>
  <si>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</si>
  <si>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</si>
  <si>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</si>
  <si>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</si>
  <si>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</si>
  <si>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</si>
  <si>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</si>
  <si>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</si>
  <si>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</si>
  <si>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</si>
  <si>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</si>
  <si>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</si>
  <si>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</si>
  <si>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</si>
  <si>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</si>
  <si>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</si>
  <si>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</si>
  <si>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</si>
  <si>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</si>
  <si>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</si>
  <si>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</si>
  <si>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</si>
  <si>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</si>
  <si>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</si>
  <si>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</si>
  <si>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</si>
  <si>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</si>
  <si>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</si>
  <si>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</si>
  <si>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</si>
  <si>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</si>
  <si>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</si>
  <si>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</si>
  <si>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</si>
  <si>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</si>
  <si>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</si>
  <si>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</si>
  <si>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</si>
  <si>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</si>
  <si>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</si>
  <si>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</si>
  <si>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</si>
  <si>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</si>
  <si>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</si>
  <si>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</si>
  <si>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</si>
  <si>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</si>
  <si>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</si>
  <si>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</si>
  <si>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</si>
  <si>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</si>
  <si>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</si>
  <si>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</si>
  <si>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</si>
  <si>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</si>
  <si>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</si>
  <si>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</si>
  <si>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</si>
  <si>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</si>
  <si>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</si>
  <si>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</si>
  <si>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</si>
  <si>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</si>
  <si>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</si>
  <si>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</si>
  <si>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</si>
  <si>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</si>
  <si>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</si>
  <si>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</si>
  <si>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</si>
  <si>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</si>
  <si>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</si>
  <si>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</si>
  <si>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</si>
  <si>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</si>
  <si>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</si>
  <si>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</si>
  <si>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</si>
  <si>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</si>
  <si>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</si>
  <si>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</si>
  <si>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</si>
  <si>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</si>
  <si>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</si>
  <si>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</si>
  <si>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</si>
  <si>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</si>
  <si>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</si>
  <si>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</si>
  <si>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</si>
  <si>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</si>
  <si>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</si>
  <si>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</si>
  <si>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</si>
  <si>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</si>
  <si>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</si>
  <si>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</si>
  <si>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</si>
  <si>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</si>
  <si>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</si>
  <si>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</si>
  <si>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</si>
  <si>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</si>
  <si>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</si>
  <si>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</si>
  <si>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</si>
  <si>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</si>
  <si>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</si>
  <si>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</si>
  <si>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</si>
  <si>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</si>
  <si>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</si>
  <si>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</si>
  <si>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</si>
  <si>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</si>
  <si>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</si>
  <si>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</si>
  <si>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</si>
  <si>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</si>
  <si>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</si>
  <si>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</si>
  <si>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</si>
  <si>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</si>
  <si>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</si>
  <si>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</si>
  <si>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</si>
  <si>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</si>
  <si>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</si>
  <si>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</si>
  <si>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</si>
  <si>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</si>
  <si>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</si>
  <si>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</si>
  <si>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</si>
  <si>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</si>
  <si>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</si>
  <si>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</si>
  <si>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</si>
  <si>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</si>
  <si>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</si>
  <si>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</si>
  <si>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</si>
  <si>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</si>
  <si>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</si>
  <si>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</si>
  <si>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</si>
  <si>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</si>
  <si>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</si>
  <si>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</si>
  <si>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</si>
  <si>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</si>
  <si>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</si>
  <si>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</si>
  <si>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</si>
  <si>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</si>
  <si>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</si>
  <si>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</si>
  <si>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</si>
  <si>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</si>
  <si>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</si>
  <si>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</si>
  <si>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</si>
  <si>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</si>
  <si>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</si>
  <si>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</si>
  <si>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</si>
  <si>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</si>
  <si>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</si>
  <si>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</si>
  <si>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</si>
  <si>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</si>
  <si>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</si>
  <si>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</si>
  <si>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</si>
  <si>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</si>
  <si>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</si>
  <si>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</si>
  <si>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</si>
  <si>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</si>
  <si>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</si>
  <si>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</si>
  <si>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</si>
  <si>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</si>
  <si>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</si>
  <si>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</si>
  <si>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</si>
  <si>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</si>
  <si>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</si>
  <si>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</si>
  <si>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</si>
  <si>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</si>
  <si>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</si>
  <si>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</si>
  <si>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</si>
  <si>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</si>
  <si>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</si>
  <si>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</si>
  <si>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</si>
  <si>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</si>
  <si>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</si>
  <si>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</si>
  <si>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</si>
  <si>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</si>
  <si>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</si>
  <si>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</si>
  <si>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</si>
  <si>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</si>
  <si>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</si>
  <si>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</si>
  <si>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</si>
  <si>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</si>
  <si>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</si>
  <si>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</si>
  <si>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</si>
  <si>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</si>
  <si>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</si>
  <si>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</si>
  <si>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</si>
  <si>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</si>
  <si>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</si>
  <si>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</si>
  <si>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</si>
  <si>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</si>
  <si>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</si>
  <si>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</si>
  <si>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</si>
  <si>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</si>
  <si>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</si>
  <si>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</si>
  <si>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</si>
  <si>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</si>
  <si>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</si>
  <si>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</si>
  <si>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</si>
  <si>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</si>
  <si>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</si>
  <si>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</si>
  <si>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</si>
  <si>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</si>
  <si>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</si>
  <si>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</si>
  <si>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</si>
  <si>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</si>
  <si>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</si>
  <si>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</si>
  <si>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</si>
  <si>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</si>
  <si>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</si>
  <si>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</si>
  <si>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</si>
  <si>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</si>
  <si>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</si>
  <si>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</si>
  <si>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</si>
  <si>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</si>
  <si>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</si>
  <si>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</si>
  <si>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</si>
  <si>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</si>
  <si>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</si>
  <si>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</si>
  <si>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</si>
  <si>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</si>
  <si>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</si>
  <si>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</si>
  <si>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</si>
  <si>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</si>
  <si>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</si>
  <si>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</si>
  <si>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</si>
  <si>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</si>
  <si>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</si>
  <si>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</si>
  <si>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</si>
  <si>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</si>
  <si>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</si>
  <si>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</si>
  <si>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</si>
  <si>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</si>
  <si>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</si>
  <si>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</si>
  <si>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</si>
  <si>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</si>
  <si>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</si>
  <si>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</si>
  <si>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</si>
  <si>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</si>
  <si>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</si>
  <si>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</si>
  <si>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</si>
  <si>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</si>
  <si>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</si>
  <si>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</si>
  <si>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</si>
  <si>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</si>
  <si>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</si>
  <si>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</si>
  <si>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</si>
  <si>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</si>
  <si>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</si>
  <si>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</si>
  <si>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</si>
  <si>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</si>
  <si>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</si>
  <si>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</si>
  <si>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</si>
  <si>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</si>
  <si>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</si>
  <si>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</si>
  <si>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</si>
  <si>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</si>
  <si>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</si>
  <si>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</si>
  <si>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</si>
  <si>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</si>
  <si>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</si>
  <si>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</si>
  <si>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</si>
  <si>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</si>
  <si>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</si>
  <si>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</si>
  <si>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</si>
  <si>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</si>
  <si>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</si>
  <si>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</si>
  <si>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</si>
  <si>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</si>
  <si>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</si>
  <si>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</si>
  <si>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</si>
  <si>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</si>
  <si>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</si>
  <si>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</si>
  <si>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</si>
  <si>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</si>
  <si>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</si>
  <si>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</si>
  <si>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</si>
  <si>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</si>
  <si>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</si>
  <si>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</si>
  <si>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</si>
  <si>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</si>
  <si>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</si>
  <si>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</si>
  <si>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</si>
  <si>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</si>
  <si>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</si>
  <si>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</si>
  <si>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</si>
  <si>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</si>
  <si>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</si>
  <si>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</si>
  <si>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</si>
  <si>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</si>
  <si>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</si>
  <si>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</si>
  <si>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</si>
  <si>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</si>
  <si>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</si>
  <si>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</si>
  <si>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</si>
  <si>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</si>
  <si>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</si>
  <si>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</si>
  <si>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</si>
  <si>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</si>
  <si>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</si>
  <si>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</si>
  <si>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</si>
  <si>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</si>
  <si>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</si>
  <si>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</si>
  <si>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</si>
  <si>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</si>
  <si>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</si>
  <si>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</si>
  <si>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</si>
  <si>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</si>
  <si>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</si>
  <si>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</si>
  <si>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</si>
  <si>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</si>
  <si>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</si>
  <si>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</si>
  <si>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</si>
  <si>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</si>
  <si>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</si>
  <si>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</si>
  <si>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</si>
  <si>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</si>
  <si>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</si>
  <si>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</si>
  <si>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</si>
  <si>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</si>
  <si>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</si>
  <si>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</si>
  <si>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</si>
  <si>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</si>
  <si>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</si>
  <si>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</si>
  <si>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</si>
  <si>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</si>
  <si>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</si>
  <si>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</si>
  <si>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</si>
  <si>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</si>
  <si>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</si>
  <si>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</si>
  <si>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</si>
  <si>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</si>
  <si>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</si>
  <si>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</si>
  <si>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</si>
  <si>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</si>
  <si>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</si>
  <si>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</si>
  <si>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</si>
  <si>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</si>
  <si>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</si>
  <si>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</si>
  <si>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</si>
  <si>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</si>
  <si>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</si>
  <si>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</si>
  <si>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</si>
  <si>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</si>
  <si>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</si>
  <si>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</si>
  <si>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</si>
  <si>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</si>
  <si>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</si>
  <si>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</si>
  <si>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</si>
  <si>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</si>
  <si>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</si>
  <si>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</si>
  <si>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</si>
  <si>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</si>
  <si>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</si>
  <si>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</si>
  <si>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</si>
  <si>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</si>
  <si>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</si>
  <si>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</si>
  <si>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</si>
  <si>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</si>
  <si>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</si>
  <si>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</si>
  <si>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</si>
  <si>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</si>
  <si>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</si>
  <si>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</si>
  <si>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</si>
  <si>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</si>
  <si>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</si>
  <si>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</si>
  <si>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</si>
  <si>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</si>
  <si>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</si>
  <si>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</si>
  <si>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</si>
  <si>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</si>
  <si>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</si>
  <si>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</si>
  <si>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</si>
  <si>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</si>
  <si>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</si>
  <si>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</si>
  <si>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</si>
  <si>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</si>
  <si>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</si>
  <si>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</si>
  <si>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</si>
  <si>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</si>
  <si>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</si>
  <si>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</si>
  <si>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</si>
  <si>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</si>
  <si>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</si>
  <si>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</si>
  <si>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</si>
  <si>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</si>
  <si>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</si>
  <si>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</si>
  <si>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</si>
  <si>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</si>
  <si>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</si>
  <si>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</si>
  <si>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</si>
  <si>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</si>
  <si>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</si>
  <si>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</si>
  <si>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</si>
  <si>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</si>
  <si>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</si>
  <si>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</si>
  <si>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</si>
  <si>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</si>
  <si>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</si>
  <si>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</si>
  <si>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</si>
  <si>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</si>
  <si>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</si>
  <si>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</si>
  <si>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</si>
  <si>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</si>
  <si>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</si>
  <si>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</si>
  <si>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</si>
  <si>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</si>
  <si>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</si>
  <si>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</si>
  <si>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</si>
  <si>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</si>
  <si>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</si>
  <si>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</si>
  <si>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</si>
  <si>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</si>
  <si>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</si>
  <si>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</si>
  <si>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</si>
  <si>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</si>
  <si>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</si>
  <si>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</si>
  <si>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</si>
  <si>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</si>
  <si>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</si>
  <si>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</si>
  <si>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</si>
  <si>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</si>
  <si>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2014</t>
  </si>
  <si>
    <t>2015</t>
  </si>
  <si>
    <t>2016</t>
  </si>
  <si>
    <t>2017</t>
  </si>
  <si>
    <t>Row Labels</t>
  </si>
  <si>
    <t>Grand Total</t>
  </si>
  <si>
    <t>KPI</t>
  </si>
  <si>
    <t>TOTAL VALUE</t>
  </si>
  <si>
    <t>SALES</t>
  </si>
  <si>
    <t>QUANTITY</t>
  </si>
  <si>
    <t>PROFIT</t>
  </si>
  <si>
    <t>CY</t>
  </si>
  <si>
    <t>PY</t>
  </si>
  <si>
    <t>%YOY</t>
  </si>
  <si>
    <t>TOTALS</t>
  </si>
  <si>
    <t>SALES TRENDS</t>
  </si>
  <si>
    <t>SALES BY STATE</t>
  </si>
  <si>
    <t>TOP SELLING CITY</t>
  </si>
  <si>
    <t>Count of Order ID</t>
  </si>
  <si>
    <t>ORDER BY DURATION</t>
  </si>
  <si>
    <t>ORDER BY SHIPING MODE</t>
  </si>
  <si>
    <t>SALES BY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</si>
</sst>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quot;M&quot;;[&gt;=1000]\$0.0,&quot;K&quot;;0"/>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2" fontId="0" fillId="0" borderId="0" xfId="0" applyNumberFormat="1"/>
    <xf numFmtId="0" fontId="0" fillId="0" borderId="0" xfId="0" applyAlignment="1">
      <alignment horizontal="left"/>
    </xf>
    <xf numFmtId="9" fontId="0" fillId="0" borderId="0" xfId="1" applyFont="1"/>
    <xf numFmtId="164" fontId="0" fillId="0" borderId="0" xfId="0" applyNumberFormat="1"/>
    <xf numFmtId="0" fontId="0" fillId="0" borderId="0" xfId="0" applyNumberFormat="1"/>
    <xf numFmtId="0" fontId="0" fillId="0" borderId="0" xfId="0" applyAlignment="1">
      <alignment horizontal="center"/>
    </xf>
    <xf numFmtId="10" fontId="0" fillId="0" borderId="0" xfId="0" applyNumberFormat="1"/>
    <xf numFmtId="9" fontId="0" fillId="0" borderId="0" xfId="0" applyNumberFormat="1"/>
  </cellXfs>
  <cellStyles count="2">
    <cellStyle name="Normal" xfId="0" builtinId="0"/>
    <cellStyle name="Percent" xfId="1" builtinId="5"/>
  </cellStyles>
  <dxfs count="141">
    <dxf>
      <numFmt numFmtId="164" formatCode="[&gt;=1000000]\$0.0,,&quot;M&quot;;[&gt;=1000]\$0.0,&quot;K&quot;;0"/>
    </dxf>
    <dxf>
      <numFmt numFmtId="14"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4"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3" formatCode="0%"/>
    </dxf>
    <dxf>
      <numFmt numFmtId="164" formatCode="[&gt;=1000000]\$0.0,,&quot;M&quot;;[&gt;=1000]\$0.0,&quot;K&quot;;0"/>
    </dxf>
    <dxf>
      <numFmt numFmtId="14" formatCode="0.00%"/>
    </dxf>
    <dxf>
      <numFmt numFmtId="13" formatCode="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4" formatCode="0.00%"/>
    </dxf>
    <dxf>
      <numFmt numFmtId="13" formatCode="0%"/>
    </dxf>
    <dxf>
      <numFmt numFmtId="14" formatCode="0.0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385F7C"/>
      <color rgb="FFCCDCE8"/>
      <color rgb="FFE1EAF1"/>
      <color rgb="FFF0F4F6"/>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Dashboard.xlsx]Sheet3!PivotTable5</c:name>
    <c:fmtId val="4"/>
  </c:pivotSource>
  <c:chart>
    <c:autoTitleDeleted val="1"/>
    <c:pivotFmts>
      <c:pivotFmt>
        <c:idx val="0"/>
        <c:spPr>
          <a:solidFill>
            <a:schemeClr val="accent1"/>
          </a:solidFill>
          <a:ln w="15875" cap="rnd">
            <a:solidFill>
              <a:schemeClr val="accent1"/>
            </a:solidFill>
            <a:prstDash val="dash"/>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5875" cap="rnd">
            <a:solidFill>
              <a:schemeClr val="accent1"/>
            </a:solidFill>
            <a:prstDash val="dash"/>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15875" cap="rnd">
            <a:solidFill>
              <a:srgbClr val="385F7C"/>
            </a:solidFill>
            <a:prstDash val="dash"/>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4407593415053253E-2"/>
          <c:w val="0.93888888888888888"/>
          <c:h val="0.81393545545795987"/>
        </c:manualLayout>
      </c:layout>
      <c:lineChart>
        <c:grouping val="standard"/>
        <c:varyColors val="0"/>
        <c:ser>
          <c:idx val="0"/>
          <c:order val="0"/>
          <c:tx>
            <c:strRef>
              <c:f>Sheet3!$B$20</c:f>
              <c:strCache>
                <c:ptCount val="1"/>
                <c:pt idx="0">
                  <c:v>Total</c:v>
                </c:pt>
              </c:strCache>
            </c:strRef>
          </c:tx>
          <c:spPr>
            <a:ln w="15875" cap="rnd">
              <a:solidFill>
                <a:srgbClr val="385F7C"/>
              </a:solidFill>
              <a:prstDash val="dash"/>
              <a:round/>
            </a:ln>
            <a:effectLst/>
          </c:spPr>
          <c:marker>
            <c:symbol val="circle"/>
            <c:size val="5"/>
            <c:spPr>
              <a:solidFill>
                <a:schemeClr val="accent1"/>
              </a:solidFill>
              <a:ln w="9525">
                <a:solidFill>
                  <a:schemeClr val="accent1"/>
                </a:solidFill>
              </a:ln>
              <a:effectLst/>
            </c:spPr>
          </c:marker>
          <c:cat>
            <c:strRef>
              <c:f>Sheet3!$A$21:$A$33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Sheet3!$B$21:$B$33</c:f>
              <c:numCache>
                <c:formatCode>General</c:formatCode>
                <c:ptCount val="12"/>
                <c:pt idx="0">
                  <c:v>305.08800000000002</c:v>
                </c:pt>
                <c:pt idx="1">
                  <c:v>1611.0509999999999</c:v>
                </c:pt>
                <c:pt idx="2">
                  <c:v>2786.2060000000001</c:v>
                </c:pt>
                <c:pt idx="3">
                  <c:v>4775.732</c:v>
                </c:pt>
                <c:pt idx="4">
                  <c:v>3428.88</c:v>
                </c:pt>
                <c:pt idx="5">
                  <c:v>3345.2839999999997</c:v>
                </c:pt>
                <c:pt idx="6">
                  <c:v>1044.5890000000002</c:v>
                </c:pt>
                <c:pt idx="7">
                  <c:v>3338.87</c:v>
                </c:pt>
                <c:pt idx="8">
                  <c:v>7422.0679999999993</c:v>
                </c:pt>
                <c:pt idx="9">
                  <c:v>1934.296</c:v>
                </c:pt>
                <c:pt idx="10">
                  <c:v>8139.6860000000015</c:v>
                </c:pt>
                <c:pt idx="11">
                  <c:v>11592.8</c:v>
                </c:pt>
              </c:numCache>
            </c:numRef>
          </c:val>
          <c:smooth val="1"/>
          <c:extLst>
            <c:ext xmlns:c16="http://schemas.microsoft.com/office/drawing/2014/chart" uri="{C3380CC4-5D6E-409C-BE32-E72D297353CC}">
              <c16:uniqueId val="{00000000-3E41-4F07-A20E-EFFC5A7D6F08}"/>
            </c:ext>
          </c:extLst>
        </c:ser>
        <c:dLbls>
          <c:showLegendKey val="0"/>
          <c:showVal val="0"/>
          <c:showCatName val="0"/>
          <c:showSerName val="0"/>
          <c:showPercent val="0"/>
          <c:showBubbleSize val="0"/>
        </c:dLbls>
        <c:marker val="1"/>
        <c:smooth val="0"/>
        <c:axId val="601792368"/>
        <c:axId val="601791648"/>
      </c:lineChart>
      <c:catAx>
        <c:axId val="6017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01791648"/>
        <c:crosses val="autoZero"/>
        <c:auto val="1"/>
        <c:lblAlgn val="ctr"/>
        <c:lblOffset val="100"/>
        <c:noMultiLvlLbl val="0"/>
      </c:catAx>
      <c:valAx>
        <c:axId val="601791648"/>
        <c:scaling>
          <c:orientation val="minMax"/>
        </c:scaling>
        <c:delete val="1"/>
        <c:axPos val="l"/>
        <c:numFmt formatCode="General" sourceLinked="1"/>
        <c:majorTickMark val="none"/>
        <c:minorTickMark val="none"/>
        <c:tickLblPos val="nextTo"/>
        <c:crossAx val="6017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Dashboard.xlsx]Sheet3!PivotTable8</c:name>
    <c:fmtId val="7"/>
  </c:pivotSource>
  <c:chart>
    <c:autoTitleDeleted val="1"/>
    <c:pivotFmts>
      <c:pivotFmt>
        <c:idx val="0"/>
        <c:spPr>
          <a:solidFill>
            <a:schemeClr val="accent1"/>
          </a:solidFill>
          <a:ln w="28575" cap="rnd">
            <a:noFill/>
            <a:round/>
          </a:ln>
          <a:effectLst/>
        </c:spPr>
        <c:marker>
          <c:symbol val="diamond"/>
          <c:size val="8"/>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8"/>
          <c:spPr>
            <a:noFill/>
            <a:ln w="9525">
              <a:solidFill>
                <a:schemeClr val="accent1"/>
              </a:solidFill>
            </a:ln>
            <a:effectLst/>
          </c:spPr>
        </c:marker>
      </c:pivotFmt>
      <c:pivotFmt>
        <c:idx val="2"/>
        <c:spPr>
          <a:solidFill>
            <a:schemeClr val="accent1"/>
          </a:solidFill>
          <a:ln w="28575" cap="rnd">
            <a:noFill/>
            <a:round/>
          </a:ln>
          <a:effectLst/>
        </c:spPr>
        <c:marker>
          <c:symbol val="diamond"/>
          <c:size val="8"/>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8"/>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00177837819727E-2"/>
          <c:y val="5.720528068567482E-2"/>
          <c:w val="0.93888888888888888"/>
          <c:h val="0.8416746864975212"/>
        </c:manualLayout>
      </c:layout>
      <c:lineChart>
        <c:grouping val="standard"/>
        <c:varyColors val="0"/>
        <c:ser>
          <c:idx val="0"/>
          <c:order val="0"/>
          <c:tx>
            <c:strRef>
              <c:f>Sheet3!$F$35</c:f>
              <c:strCache>
                <c:ptCount val="1"/>
                <c:pt idx="0">
                  <c:v>Total</c:v>
                </c:pt>
              </c:strCache>
            </c:strRef>
          </c:tx>
          <c:spPr>
            <a:ln w="28575" cap="rnd">
              <a:noFill/>
              <a:round/>
            </a:ln>
            <a:effectLst/>
          </c:spPr>
          <c:marker>
            <c:symbol val="diamond"/>
            <c:size val="8"/>
            <c:spPr>
              <a:no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Sheet3!$E$36:$E$44</c:f>
              <c:strCache>
                <c:ptCount val="8"/>
                <c:pt idx="0">
                  <c:v>0-Days</c:v>
                </c:pt>
                <c:pt idx="1">
                  <c:v>1-Days</c:v>
                </c:pt>
                <c:pt idx="2">
                  <c:v>2-Days</c:v>
                </c:pt>
                <c:pt idx="3">
                  <c:v>3-Days</c:v>
                </c:pt>
                <c:pt idx="4">
                  <c:v>4-Days</c:v>
                </c:pt>
                <c:pt idx="5">
                  <c:v>5-Days</c:v>
                </c:pt>
                <c:pt idx="6">
                  <c:v>6-Days</c:v>
                </c:pt>
                <c:pt idx="7">
                  <c:v>7-Days</c:v>
                </c:pt>
              </c:strCache>
            </c:strRef>
          </c:cat>
          <c:val>
            <c:numRef>
              <c:f>Sheet3!$F$36:$F$44</c:f>
              <c:numCache>
                <c:formatCode>0%</c:formatCode>
                <c:ptCount val="8"/>
                <c:pt idx="0">
                  <c:v>8.1967213114754092E-2</c:v>
                </c:pt>
                <c:pt idx="1">
                  <c:v>8.1967213114754092E-2</c:v>
                </c:pt>
                <c:pt idx="2">
                  <c:v>0.14754098360655737</c:v>
                </c:pt>
                <c:pt idx="3">
                  <c:v>8.1967213114754092E-2</c:v>
                </c:pt>
                <c:pt idx="4">
                  <c:v>0.22950819672131148</c:v>
                </c:pt>
                <c:pt idx="5">
                  <c:v>0.18852459016393441</c:v>
                </c:pt>
                <c:pt idx="6">
                  <c:v>7.3770491803278687E-2</c:v>
                </c:pt>
                <c:pt idx="7">
                  <c:v>0.11475409836065574</c:v>
                </c:pt>
              </c:numCache>
            </c:numRef>
          </c:val>
          <c:smooth val="0"/>
          <c:extLst>
            <c:ext xmlns:c16="http://schemas.microsoft.com/office/drawing/2014/chart" uri="{C3380CC4-5D6E-409C-BE32-E72D297353CC}">
              <c16:uniqueId val="{00000000-C67C-49D9-ACAF-F27EAB942233}"/>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prstDash val="dashDot"/>
              <a:round/>
            </a:ln>
            <a:effectLst/>
          </c:spPr>
        </c:dropLines>
        <c:marker val="1"/>
        <c:smooth val="0"/>
        <c:axId val="528556128"/>
        <c:axId val="528559368"/>
      </c:lineChart>
      <c:catAx>
        <c:axId val="52855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559368"/>
        <c:crosses val="autoZero"/>
        <c:auto val="1"/>
        <c:lblAlgn val="ctr"/>
        <c:lblOffset val="100"/>
        <c:noMultiLvlLbl val="0"/>
      </c:catAx>
      <c:valAx>
        <c:axId val="528559368"/>
        <c:scaling>
          <c:orientation val="minMax"/>
        </c:scaling>
        <c:delete val="1"/>
        <c:axPos val="l"/>
        <c:numFmt formatCode="0%" sourceLinked="1"/>
        <c:majorTickMark val="none"/>
        <c:minorTickMark val="none"/>
        <c:tickLblPos val="nextTo"/>
        <c:crossAx val="528556128"/>
        <c:crosses val="autoZero"/>
        <c:crossBetween val="between"/>
      </c:valAx>
      <c:spPr>
        <a:noFill/>
        <a:ln>
          <a:noFill/>
          <a:prstDash val="sysDash"/>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Dashboard.xlsx]Sheet3!PivotTable6</c:name>
    <c:fmtId val="6"/>
  </c:pivotSource>
  <c:chart>
    <c:autoTitleDeleted val="1"/>
    <c:pivotFmts>
      <c:pivotFmt>
        <c:idx val="0"/>
        <c:spPr>
          <a:solidFill>
            <a:srgbClr val="385F7C"/>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F7C"/>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5F7C"/>
          </a:solidFill>
          <a:ln>
            <a:noFill/>
          </a:ln>
          <a:effectLst/>
        </c:spPr>
        <c:marker>
          <c:symbol val="none"/>
        </c:marker>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5F7C"/>
          </a:solidFill>
          <a:ln>
            <a:noFill/>
          </a:ln>
          <a:effectLst/>
        </c:spPr>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85F7C"/>
          </a:solidFill>
          <a:ln>
            <a:noFill/>
          </a:ln>
          <a:effectLst/>
        </c:spPr>
        <c:dLbl>
          <c:idx val="0"/>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9612373722925E-2"/>
          <c:y val="9.2695225818451424E-2"/>
          <c:w val="0.90513113768972808"/>
          <c:h val="0.64867652758849192"/>
        </c:manualLayout>
      </c:layout>
      <c:barChart>
        <c:barDir val="col"/>
        <c:grouping val="clustered"/>
        <c:varyColors val="0"/>
        <c:ser>
          <c:idx val="0"/>
          <c:order val="0"/>
          <c:tx>
            <c:strRef>
              <c:f>Sheet3!$B$37</c:f>
              <c:strCache>
                <c:ptCount val="1"/>
                <c:pt idx="0">
                  <c:v>Total</c:v>
                </c:pt>
              </c:strCache>
            </c:strRef>
          </c:tx>
          <c:spPr>
            <a:solidFill>
              <a:srgbClr val="385F7C"/>
            </a:solidFill>
            <a:ln>
              <a:noFill/>
            </a:ln>
            <a:effectLst/>
          </c:spPr>
          <c:invertIfNegative val="0"/>
          <c:dLbls>
            <c:spPr>
              <a:noFill/>
              <a:ln>
                <a:noFill/>
              </a:ln>
              <a:effectLst/>
            </c:spPr>
            <c:txPr>
              <a:bodyPr rot="-5400000" spcFirstLastPara="1" vertOverflow="overflow" horzOverflow="overflow" vert="horz" wrap="square" lIns="38100" tIns="19050" rIns="38100" bIns="19050" anchor="b"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Sheet3!$A$38:$A$48</c:f>
              <c:strCache>
                <c:ptCount val="10"/>
                <c:pt idx="0">
                  <c:v>Arizona</c:v>
                </c:pt>
                <c:pt idx="1">
                  <c:v>California</c:v>
                </c:pt>
                <c:pt idx="2">
                  <c:v>Colorado</c:v>
                </c:pt>
                <c:pt idx="3">
                  <c:v>Idaho</c:v>
                </c:pt>
                <c:pt idx="4">
                  <c:v>Montana</c:v>
                </c:pt>
                <c:pt idx="5">
                  <c:v>Nevada</c:v>
                </c:pt>
                <c:pt idx="6">
                  <c:v>Oregon</c:v>
                </c:pt>
                <c:pt idx="7">
                  <c:v>Utah</c:v>
                </c:pt>
                <c:pt idx="8">
                  <c:v>Washington</c:v>
                </c:pt>
                <c:pt idx="9">
                  <c:v>Wyoming</c:v>
                </c:pt>
              </c:strCache>
            </c:strRef>
          </c:cat>
          <c:val>
            <c:numRef>
              <c:f>Sheet3!$B$38:$B$48</c:f>
              <c:numCache>
                <c:formatCode>[&gt;=1000000]\$0.0,,"M";[&gt;=1000]\$0.0,"K";0</c:formatCode>
                <c:ptCount val="10"/>
                <c:pt idx="0">
                  <c:v>3853.8759999999997</c:v>
                </c:pt>
                <c:pt idx="1">
                  <c:v>28704.969000000005</c:v>
                </c:pt>
                <c:pt idx="2">
                  <c:v>1561.44</c:v>
                </c:pt>
                <c:pt idx="3">
                  <c:v>41.96</c:v>
                </c:pt>
                <c:pt idx="4">
                  <c:v>63.98</c:v>
                </c:pt>
                <c:pt idx="5">
                  <c:v>14.56</c:v>
                </c:pt>
                <c:pt idx="6">
                  <c:v>1359.1570000000002</c:v>
                </c:pt>
                <c:pt idx="7">
                  <c:v>73.319999999999993</c:v>
                </c:pt>
                <c:pt idx="8">
                  <c:v>12448.152</c:v>
                </c:pt>
                <c:pt idx="9">
                  <c:v>1603.136</c:v>
                </c:pt>
              </c:numCache>
            </c:numRef>
          </c:val>
          <c:extLst>
            <c:ext xmlns:c16="http://schemas.microsoft.com/office/drawing/2014/chart" uri="{C3380CC4-5D6E-409C-BE32-E72D297353CC}">
              <c16:uniqueId val="{00000000-83F7-451B-94A2-C517777D666C}"/>
            </c:ext>
          </c:extLst>
        </c:ser>
        <c:dLbls>
          <c:dLblPos val="outEnd"/>
          <c:showLegendKey val="0"/>
          <c:showVal val="1"/>
          <c:showCatName val="0"/>
          <c:showSerName val="0"/>
          <c:showPercent val="0"/>
          <c:showBubbleSize val="0"/>
        </c:dLbls>
        <c:gapWidth val="444"/>
        <c:overlap val="-90"/>
        <c:axId val="597408488"/>
        <c:axId val="597404888"/>
      </c:barChart>
      <c:catAx>
        <c:axId val="597408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97404888"/>
        <c:crosses val="autoZero"/>
        <c:auto val="1"/>
        <c:lblAlgn val="ctr"/>
        <c:lblOffset val="100"/>
        <c:noMultiLvlLbl val="0"/>
      </c:catAx>
      <c:valAx>
        <c:axId val="597404888"/>
        <c:scaling>
          <c:orientation val="minMax"/>
        </c:scaling>
        <c:delete val="1"/>
        <c:axPos val="l"/>
        <c:numFmt formatCode="[&gt;=1000000]\$0.0,,&quot;M&quot;;[&gt;=1000]\$0.0,&quot;K&quot;;0" sourceLinked="1"/>
        <c:majorTickMark val="none"/>
        <c:minorTickMark val="none"/>
        <c:tickLblPos val="nextTo"/>
        <c:crossAx val="597408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33180227471567"/>
          <c:y val="0.10185185185185185"/>
          <c:w val="0.78622375328083993"/>
          <c:h val="0.89814814814814814"/>
        </c:manualLayout>
      </c:layout>
      <c:barChart>
        <c:barDir val="bar"/>
        <c:grouping val="stacked"/>
        <c:varyColors val="0"/>
        <c:ser>
          <c:idx val="0"/>
          <c:order val="0"/>
          <c:spPr>
            <a:solidFill>
              <a:schemeClr val="bg1">
                <a:lumMod val="50000"/>
              </a:schemeClr>
            </a:solidFill>
            <a:ln>
              <a:noFill/>
            </a:ln>
            <a:effectLst/>
          </c:spPr>
          <c:invertIfNegative val="0"/>
          <c:cat>
            <c:strRef>
              <c:f>Sheet3!$G$22:$G$26</c:f>
              <c:strCache>
                <c:ptCount val="5"/>
                <c:pt idx="0">
                  <c:v>Long Beach</c:v>
                </c:pt>
                <c:pt idx="1">
                  <c:v>Los Angeles</c:v>
                </c:pt>
                <c:pt idx="2">
                  <c:v>San Diego</c:v>
                </c:pt>
                <c:pt idx="3">
                  <c:v>San Francisco</c:v>
                </c:pt>
                <c:pt idx="4">
                  <c:v>Seattle</c:v>
                </c:pt>
              </c:strCache>
            </c:strRef>
          </c:cat>
          <c:val>
            <c:numRef>
              <c:f>Sheet3!$H$22:$H$26</c:f>
              <c:numCache>
                <c:formatCode>[&gt;=1000000]\$0.0,,"M";[&gt;=1000]\$0.0,"K";0</c:formatCode>
                <c:ptCount val="5"/>
                <c:pt idx="0">
                  <c:v>8297.9639999999999</c:v>
                </c:pt>
                <c:pt idx="1">
                  <c:v>0</c:v>
                </c:pt>
                <c:pt idx="2">
                  <c:v>0</c:v>
                </c:pt>
                <c:pt idx="3">
                  <c:v>3772.2470000000003</c:v>
                </c:pt>
                <c:pt idx="4">
                  <c:v>12443.972</c:v>
                </c:pt>
              </c:numCache>
            </c:numRef>
          </c:val>
          <c:extLst>
            <c:ext xmlns:c16="http://schemas.microsoft.com/office/drawing/2014/chart" uri="{C3380CC4-5D6E-409C-BE32-E72D297353CC}">
              <c16:uniqueId val="{00000000-57CD-4BC8-93A2-E10F63A75645}"/>
            </c:ext>
          </c:extLst>
        </c:ser>
        <c:ser>
          <c:idx val="1"/>
          <c:order val="1"/>
          <c:spPr>
            <a:solidFill>
              <a:schemeClr val="bg1">
                <a:lumMod val="85000"/>
                <a:alpha val="64000"/>
              </a:schemeClr>
            </a:solidFill>
            <a:ln>
              <a:noFill/>
            </a:ln>
            <a:effectLst/>
          </c:spPr>
          <c:invertIfNegative val="0"/>
          <c:dLbls>
            <c:dLbl>
              <c:idx val="0"/>
              <c:tx>
                <c:rich>
                  <a:bodyPr/>
                  <a:lstStyle/>
                  <a:p>
                    <a:fld id="{26180334-940A-4B8F-8E15-ED5C8F8F01E3}" type="CELLRANGE">
                      <a:rPr lang="en-US"/>
                      <a:pPr/>
                      <a:t>[CELLRANGE]</a:t>
                    </a:fld>
                    <a:endParaRPr lang="en-IN"/>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7CD-4BC8-93A2-E10F63A75645}"/>
                </c:ext>
              </c:extLst>
            </c:dLbl>
            <c:dLbl>
              <c:idx val="1"/>
              <c:tx>
                <c:rich>
                  <a:bodyPr/>
                  <a:lstStyle/>
                  <a:p>
                    <a:fld id="{E5B1705B-49A4-4666-8EA4-9B471FA31B8B}" type="CELLRANGE">
                      <a:rPr lang="en-IN"/>
                      <a:pPr/>
                      <a:t>[CELLRANGE]</a:t>
                    </a:fld>
                    <a:endParaRPr lang="en-IN"/>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7CD-4BC8-93A2-E10F63A75645}"/>
                </c:ext>
              </c:extLst>
            </c:dLbl>
            <c:dLbl>
              <c:idx val="2"/>
              <c:tx>
                <c:rich>
                  <a:bodyPr/>
                  <a:lstStyle/>
                  <a:p>
                    <a:fld id="{53F627C5-5DD7-44B5-91CC-9B8D746478DB}" type="CELLRANGE">
                      <a:rPr lang="en-IN"/>
                      <a:pPr/>
                      <a:t>[CELLRANGE]</a:t>
                    </a:fld>
                    <a:endParaRPr lang="en-IN"/>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7CD-4BC8-93A2-E10F63A75645}"/>
                </c:ext>
              </c:extLst>
            </c:dLbl>
            <c:dLbl>
              <c:idx val="3"/>
              <c:tx>
                <c:rich>
                  <a:bodyPr/>
                  <a:lstStyle/>
                  <a:p>
                    <a:fld id="{C60279D9-9334-424F-8DC8-570EBF227C48}" type="CELLRANGE">
                      <a:rPr lang="en-IN"/>
                      <a:pPr/>
                      <a:t>[CELLRANGE]</a:t>
                    </a:fld>
                    <a:endParaRPr lang="en-IN"/>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7CD-4BC8-93A2-E10F63A75645}"/>
                </c:ext>
              </c:extLst>
            </c:dLbl>
            <c:dLbl>
              <c:idx val="4"/>
              <c:tx>
                <c:rich>
                  <a:bodyPr/>
                  <a:lstStyle/>
                  <a:p>
                    <a:fld id="{9BC77B76-C07B-443B-A4BE-A1A43180EC80}" type="CELLRANGE">
                      <a:rPr lang="en-IN"/>
                      <a:pPr/>
                      <a:t>[CELLRANGE]</a:t>
                    </a:fld>
                    <a:endParaRPr lang="en-IN"/>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7CD-4BC8-93A2-E10F63A756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Sheet3!$G$22:$G$26</c:f>
              <c:strCache>
                <c:ptCount val="5"/>
                <c:pt idx="0">
                  <c:v>Long Beach</c:v>
                </c:pt>
                <c:pt idx="1">
                  <c:v>Los Angeles</c:v>
                </c:pt>
                <c:pt idx="2">
                  <c:v>San Diego</c:v>
                </c:pt>
                <c:pt idx="3">
                  <c:v>San Francisco</c:v>
                </c:pt>
                <c:pt idx="4">
                  <c:v>Seattle</c:v>
                </c:pt>
              </c:strCache>
            </c:strRef>
          </c:cat>
          <c:val>
            <c:numRef>
              <c:f>Sheet3!$I$22:$I$26</c:f>
              <c:numCache>
                <c:formatCode>[&gt;=1000000]\$0.0,,"M";[&gt;=1000]\$0.0,"K";0</c:formatCode>
                <c:ptCount val="5"/>
                <c:pt idx="0">
                  <c:v>0</c:v>
                </c:pt>
                <c:pt idx="1">
                  <c:v>0</c:v>
                </c:pt>
                <c:pt idx="2">
                  <c:v>0</c:v>
                </c:pt>
                <c:pt idx="3">
                  <c:v>0</c:v>
                </c:pt>
                <c:pt idx="4">
                  <c:v>0</c:v>
                </c:pt>
              </c:numCache>
            </c:numRef>
          </c:val>
          <c:extLst>
            <c:ext xmlns:c15="http://schemas.microsoft.com/office/drawing/2012/chart" uri="{02D57815-91ED-43cb-92C2-25804820EDAC}">
              <c15:datalabelsRange>
                <c15:f>Sheet3!$H$22:$H$26</c15:f>
                <c15:dlblRangeCache>
                  <c:ptCount val="5"/>
                  <c:pt idx="0">
                    <c:v>$8.3K</c:v>
                  </c:pt>
                  <c:pt idx="1">
                    <c:v>#REF!</c:v>
                  </c:pt>
                  <c:pt idx="2">
                    <c:v>#REF!</c:v>
                  </c:pt>
                  <c:pt idx="3">
                    <c:v>$3.8K</c:v>
                  </c:pt>
                  <c:pt idx="4">
                    <c:v>$12.4K</c:v>
                  </c:pt>
                </c15:dlblRangeCache>
              </c15:datalabelsRange>
            </c:ext>
            <c:ext xmlns:c16="http://schemas.microsoft.com/office/drawing/2014/chart" uri="{C3380CC4-5D6E-409C-BE32-E72D297353CC}">
              <c16:uniqueId val="{00000006-57CD-4BC8-93A2-E10F63A75645}"/>
            </c:ext>
          </c:extLst>
        </c:ser>
        <c:dLbls>
          <c:showLegendKey val="0"/>
          <c:showVal val="0"/>
          <c:showCatName val="0"/>
          <c:showSerName val="0"/>
          <c:showPercent val="0"/>
          <c:showBubbleSize val="0"/>
        </c:dLbls>
        <c:gapWidth val="150"/>
        <c:overlap val="100"/>
        <c:axId val="601736832"/>
        <c:axId val="601734312"/>
      </c:barChart>
      <c:catAx>
        <c:axId val="601736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4312"/>
        <c:crosses val="autoZero"/>
        <c:auto val="1"/>
        <c:lblAlgn val="ctr"/>
        <c:lblOffset val="100"/>
        <c:noMultiLvlLbl val="0"/>
      </c:catAx>
      <c:valAx>
        <c:axId val="601734312"/>
        <c:scaling>
          <c:orientation val="minMax"/>
        </c:scaling>
        <c:delete val="1"/>
        <c:axPos val="b"/>
        <c:numFmt formatCode="[&gt;=1000000]\$0.0,,&quot;M&quot;;[&gt;=1000]\$0.0,&quot;K&quot;;0" sourceLinked="1"/>
        <c:majorTickMark val="out"/>
        <c:minorTickMark val="none"/>
        <c:tickLblPos val="nextTo"/>
        <c:crossAx val="6017368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Dashboard.xlsx]Sheet3!PivotTable9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chemeClr val="tx1">
              <a:lumMod val="95000"/>
              <a:lumOff val="5000"/>
            </a:schemeClr>
          </a:solidFill>
          <a:ln w="19050">
            <a:solidFill>
              <a:schemeClr val="lt1"/>
            </a:solidFill>
          </a:ln>
          <a:effectLst/>
        </c:spPr>
      </c:pivotFmt>
      <c:pivotFmt>
        <c:idx val="3"/>
        <c:spPr>
          <a:solidFill>
            <a:schemeClr val="accent2">
              <a:lumMod val="50000"/>
            </a:schemeClr>
          </a:solidFill>
          <a:ln w="19050">
            <a:solidFill>
              <a:schemeClr val="lt1"/>
            </a:solidFill>
          </a:ln>
          <a:effectLst/>
        </c:spPr>
      </c:pivotFmt>
      <c:pivotFmt>
        <c:idx val="4"/>
        <c:spPr>
          <a:solidFill>
            <a:schemeClr val="bg1">
              <a:lumMod val="8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pivotFmt>
      <c:pivotFmt>
        <c:idx val="7"/>
        <c:spPr>
          <a:solidFill>
            <a:schemeClr val="tx1">
              <a:lumMod val="95000"/>
              <a:lumOff val="5000"/>
            </a:schemeClr>
          </a:solidFill>
          <a:ln w="19050">
            <a:solidFill>
              <a:schemeClr val="lt1"/>
            </a:solidFill>
          </a:ln>
          <a:effectLst/>
        </c:spPr>
      </c:pivotFmt>
      <c:pivotFmt>
        <c:idx val="8"/>
        <c:spPr>
          <a:solidFill>
            <a:schemeClr val="bg1">
              <a:lumMod val="85000"/>
            </a:schemeClr>
          </a:solidFill>
          <a:ln w="19050">
            <a:solidFill>
              <a:schemeClr val="lt1"/>
            </a:solidFill>
          </a:ln>
          <a:effectLst/>
        </c:spPr>
      </c:pivotFmt>
      <c:pivotFmt>
        <c:idx val="9"/>
        <c:spPr>
          <a:solidFill>
            <a:srgbClr val="385F7C"/>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dLbl>
          <c:idx val="0"/>
          <c:layout>
            <c:manualLayout>
              <c:x val="-3.9587618582646367E-2"/>
              <c:y val="0.15292033693313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95000"/>
              <a:lumOff val="5000"/>
            </a:schemeClr>
          </a:solidFill>
          <a:ln w="19050">
            <a:solidFill>
              <a:schemeClr val="lt1"/>
            </a:solidFill>
          </a:ln>
          <a:effectLst/>
        </c:spPr>
        <c:dLbl>
          <c:idx val="0"/>
          <c:layout>
            <c:manualLayout>
              <c:x val="-0.12311850992604668"/>
              <c:y val="0.10194689128875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w="19050">
            <a:solidFill>
              <a:schemeClr val="lt1"/>
            </a:solidFill>
          </a:ln>
          <a:effectLst/>
        </c:spPr>
        <c:dLbl>
          <c:idx val="0"/>
          <c:layout>
            <c:manualLayout>
              <c:x val="-5.4432975551138747E-2"/>
              <c:y val="-0.1274336141109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F7C"/>
          </a:solidFill>
          <a:ln w="19050">
            <a:solidFill>
              <a:schemeClr val="lt1"/>
            </a:solidFill>
          </a:ln>
          <a:effectLst/>
        </c:spPr>
        <c:dLbl>
          <c:idx val="0"/>
          <c:layout>
            <c:manualLayout>
              <c:x val="8.9072141810954228E-2"/>
              <c:y val="0.2548672282218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9531164546998"/>
          <c:y val="7.6460168466568917E-2"/>
          <c:w val="0.47360818933791654"/>
          <c:h val="0.81309736597060933"/>
        </c:manualLayout>
      </c:layout>
      <c:doughnutChart>
        <c:varyColors val="1"/>
        <c:ser>
          <c:idx val="0"/>
          <c:order val="0"/>
          <c:tx>
            <c:strRef>
              <c:f>Sheet3!$F$49</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8B83-4DA9-8213-3D4F9ADD97E8}"/>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8B83-4DA9-8213-3D4F9ADD97E8}"/>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8B83-4DA9-8213-3D4F9ADD97E8}"/>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7-8B83-4DA9-8213-3D4F9ADD97E8}"/>
              </c:ext>
            </c:extLst>
          </c:dPt>
          <c:dLbls>
            <c:dLbl>
              <c:idx val="0"/>
              <c:layout>
                <c:manualLayout>
                  <c:x val="-3.9587618582646367E-2"/>
                  <c:y val="0.152920336933137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83-4DA9-8213-3D4F9ADD97E8}"/>
                </c:ext>
              </c:extLst>
            </c:dLbl>
            <c:dLbl>
              <c:idx val="1"/>
              <c:layout>
                <c:manualLayout>
                  <c:x val="-0.12311850992604668"/>
                  <c:y val="0.101946891288758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83-4DA9-8213-3D4F9ADD97E8}"/>
                </c:ext>
              </c:extLst>
            </c:dLbl>
            <c:dLbl>
              <c:idx val="2"/>
              <c:layout>
                <c:manualLayout>
                  <c:x val="-5.4432975551138747E-2"/>
                  <c:y val="-0.12743361411094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83-4DA9-8213-3D4F9ADD97E8}"/>
                </c:ext>
              </c:extLst>
            </c:dLbl>
            <c:dLbl>
              <c:idx val="3"/>
              <c:layout>
                <c:manualLayout>
                  <c:x val="8.9072141810954228E-2"/>
                  <c:y val="0.25486722822189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83-4DA9-8213-3D4F9ADD97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Sheet3!$E$50:$E$54</c:f>
              <c:strCache>
                <c:ptCount val="4"/>
                <c:pt idx="0">
                  <c:v>First Class</c:v>
                </c:pt>
                <c:pt idx="1">
                  <c:v>Same Day</c:v>
                </c:pt>
                <c:pt idx="2">
                  <c:v>Second Class</c:v>
                </c:pt>
                <c:pt idx="3">
                  <c:v>Standard Class</c:v>
                </c:pt>
              </c:strCache>
            </c:strRef>
          </c:cat>
          <c:val>
            <c:numRef>
              <c:f>Sheet3!$F$50:$F$54</c:f>
              <c:numCache>
                <c:formatCode>0.00%</c:formatCode>
                <c:ptCount val="4"/>
                <c:pt idx="0">
                  <c:v>0.18852459016393441</c:v>
                </c:pt>
                <c:pt idx="1">
                  <c:v>9.8360655737704916E-2</c:v>
                </c:pt>
                <c:pt idx="2">
                  <c:v>0.18852459016393441</c:v>
                </c:pt>
                <c:pt idx="3">
                  <c:v>0.52459016393442626</c:v>
                </c:pt>
              </c:numCache>
            </c:numRef>
          </c:val>
          <c:extLst>
            <c:ext xmlns:c16="http://schemas.microsoft.com/office/drawing/2014/chart" uri="{C3380CC4-5D6E-409C-BE32-E72D297353CC}">
              <c16:uniqueId val="{00000008-8B83-4DA9-8213-3D4F9ADD97E8}"/>
            </c:ext>
          </c:extLst>
        </c:ser>
        <c:dLbls>
          <c:showLegendKey val="0"/>
          <c:showVal val="0"/>
          <c:showCatName val="0"/>
          <c:showSerName val="0"/>
          <c:showPercent val="0"/>
          <c:showBubbleSize val="0"/>
          <c:showLeaderLines val="1"/>
        </c:dLbls>
        <c:firstSliceAng val="200"/>
        <c:holeSize val="90"/>
      </c:doughnutChart>
      <c:spPr>
        <a:noFill/>
        <a:ln>
          <a:noFill/>
        </a:ln>
        <a:effectLst/>
      </c:spPr>
    </c:plotArea>
    <c:legend>
      <c:legendPos val="r"/>
      <c:layout>
        <c:manualLayout>
          <c:xMode val="edge"/>
          <c:yMode val="edge"/>
          <c:x val="0.68927555012139763"/>
          <c:y val="9.4334321584912936E-2"/>
          <c:w val="0.30630048802917725"/>
          <c:h val="0.573455277156404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385F7C"/>
            </a:solidFill>
            <a:ln>
              <a:noFill/>
            </a:ln>
            <a:effectLst/>
          </c:spPr>
          <c:invertIfNegative val="0"/>
          <c:dLbls>
            <c:delete val="1"/>
          </c:dLbls>
          <c:cat>
            <c:strRef>
              <c:f>Sheet3!$G$61:$G$64</c:f>
              <c:strCache>
                <c:ptCount val="4"/>
                <c:pt idx="0">
                  <c:v>Bookcases</c:v>
                </c:pt>
                <c:pt idx="1">
                  <c:v>Chairs</c:v>
                </c:pt>
                <c:pt idx="2">
                  <c:v>Furnishings</c:v>
                </c:pt>
                <c:pt idx="3">
                  <c:v>Tables</c:v>
                </c:pt>
              </c:strCache>
            </c:strRef>
          </c:cat>
          <c:val>
            <c:numRef>
              <c:f>Sheet3!$H$61:$H$64</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3DC1-4D4D-86C9-4EE91388D784}"/>
            </c:ext>
          </c:extLst>
        </c:ser>
        <c:ser>
          <c:idx val="1"/>
          <c:order val="1"/>
          <c:spPr>
            <a:solidFill>
              <a:schemeClr val="bg1">
                <a:lumMod val="95000"/>
              </a:schemeClr>
            </a:solidFill>
            <a:ln>
              <a:noFill/>
            </a:ln>
            <a:effectLst/>
          </c:spPr>
          <c:invertIfNegative val="0"/>
          <c:dLbls>
            <c:dLbl>
              <c:idx val="0"/>
              <c:tx>
                <c:rich>
                  <a:bodyPr/>
                  <a:lstStyle/>
                  <a:p>
                    <a:fld id="{A7143BCD-4EEA-4093-99F4-57B55ECB6380}" type="CELLRANGE">
                      <a:rPr lang="en-US"/>
                      <a:pPr/>
                      <a:t>[CELLRANGE]</a:t>
                    </a:fld>
                    <a:endParaRPr lang="en-IN"/>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DC1-4D4D-86C9-4EE91388D784}"/>
                </c:ext>
              </c:extLst>
            </c:dLbl>
            <c:dLbl>
              <c:idx val="1"/>
              <c:tx>
                <c:rich>
                  <a:bodyPr/>
                  <a:lstStyle/>
                  <a:p>
                    <a:fld id="{AA74D147-AD9F-40E5-BA92-A001F2D9F1ED}"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DC1-4D4D-86C9-4EE91388D784}"/>
                </c:ext>
              </c:extLst>
            </c:dLbl>
            <c:dLbl>
              <c:idx val="2"/>
              <c:tx>
                <c:rich>
                  <a:bodyPr/>
                  <a:lstStyle/>
                  <a:p>
                    <a:fld id="{06A40A1D-0DB5-4BAF-B1CE-D1560E581A0C}"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DC1-4D4D-86C9-4EE91388D784}"/>
                </c:ext>
              </c:extLst>
            </c:dLbl>
            <c:dLbl>
              <c:idx val="3"/>
              <c:tx>
                <c:rich>
                  <a:bodyPr/>
                  <a:lstStyle/>
                  <a:p>
                    <a:fld id="{66E6D444-8D78-4FCD-8544-2CA7F790BFB2}"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C1-4D4D-86C9-4EE91388D7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Sheet3!$G$61:$G$64</c:f>
              <c:strCache>
                <c:ptCount val="4"/>
                <c:pt idx="0">
                  <c:v>Bookcases</c:v>
                </c:pt>
                <c:pt idx="1">
                  <c:v>Chairs</c:v>
                </c:pt>
                <c:pt idx="2">
                  <c:v>Furnishings</c:v>
                </c:pt>
                <c:pt idx="3">
                  <c:v>Tables</c:v>
                </c:pt>
              </c:strCache>
            </c:strRef>
          </c:cat>
          <c:val>
            <c:numRef>
              <c:f>Sheet3!$I$61:$I$64</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Sheet3!$H$64</c15:f>
                <c15:dlblRangeCache>
                  <c:ptCount val="1"/>
                  <c:pt idx="0">
                    <c:v>$207.0K</c:v>
                  </c:pt>
                </c15:dlblRangeCache>
              </c15:datalabelsRange>
            </c:ext>
            <c:ext xmlns:c16="http://schemas.microsoft.com/office/drawing/2014/chart" uri="{C3380CC4-5D6E-409C-BE32-E72D297353CC}">
              <c16:uniqueId val="{00000005-3DC1-4D4D-86C9-4EE91388D784}"/>
            </c:ext>
          </c:extLst>
        </c:ser>
        <c:dLbls>
          <c:dLblPos val="ctr"/>
          <c:showLegendKey val="0"/>
          <c:showVal val="1"/>
          <c:showCatName val="0"/>
          <c:showSerName val="0"/>
          <c:showPercent val="0"/>
          <c:showBubbleSize val="0"/>
        </c:dLbls>
        <c:gapWidth val="150"/>
        <c:overlap val="100"/>
        <c:axId val="601733592"/>
        <c:axId val="601737192"/>
      </c:barChart>
      <c:catAx>
        <c:axId val="60173359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7192"/>
        <c:crosses val="autoZero"/>
        <c:auto val="1"/>
        <c:lblAlgn val="ctr"/>
        <c:lblOffset val="100"/>
        <c:noMultiLvlLbl val="0"/>
      </c:catAx>
      <c:valAx>
        <c:axId val="601737192"/>
        <c:scaling>
          <c:orientation val="maxMin"/>
        </c:scaling>
        <c:delete val="1"/>
        <c:axPos val="b"/>
        <c:numFmt formatCode="[&gt;=1000000]\$0.0,,&quot;M&quot;;[&gt;=1000]\$0.0,&quot;K&quot;;0" sourceLinked="1"/>
        <c:majorTickMark val="none"/>
        <c:minorTickMark val="none"/>
        <c:tickLblPos val="nextTo"/>
        <c:crossAx val="6017335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1056667</xdr:colOff>
      <xdr:row>38</xdr:row>
      <xdr:rowOff>102951</xdr:rowOff>
    </xdr:from>
    <xdr:to>
      <xdr:col>10</xdr:col>
      <xdr:colOff>111463</xdr:colOff>
      <xdr:row>40</xdr:row>
      <xdr:rowOff>151995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3FDD241-E071-6D92-B287-60B89F8129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62039" y="7418962"/>
              <a:ext cx="2408812" cy="434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327092</xdr:colOff>
      <xdr:row>38</xdr:row>
      <xdr:rowOff>72552</xdr:rowOff>
    </xdr:from>
    <xdr:to>
      <xdr:col>12</xdr:col>
      <xdr:colOff>911967</xdr:colOff>
      <xdr:row>40</xdr:row>
      <xdr:rowOff>111463</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D1917EEA-310E-838E-5DA6-8B42645FF5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186480" y="7388563"/>
              <a:ext cx="2753333" cy="423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95249</xdr:colOff>
      <xdr:row>3</xdr:row>
      <xdr:rowOff>119649</xdr:rowOff>
    </xdr:from>
    <xdr:to>
      <xdr:col>28</xdr:col>
      <xdr:colOff>411856</xdr:colOff>
      <xdr:row>39</xdr:row>
      <xdr:rowOff>101649</xdr:rowOff>
    </xdr:to>
    <xdr:sp macro="" textlink="">
      <xdr:nvSpPr>
        <xdr:cNvPr id="2" name="Rectangle: Rounded Corners 1">
          <a:extLst>
            <a:ext uri="{FF2B5EF4-FFF2-40B4-BE49-F238E27FC236}">
              <a16:creationId xmlns:a16="http://schemas.microsoft.com/office/drawing/2014/main" id="{4C7DDDF2-812A-EAB5-AFA3-ADDA4BA0888B}"/>
            </a:ext>
          </a:extLst>
        </xdr:cNvPr>
        <xdr:cNvSpPr/>
      </xdr:nvSpPr>
      <xdr:spPr>
        <a:xfrm>
          <a:off x="3167830" y="672714"/>
          <a:ext cx="14450478" cy="6618774"/>
        </a:xfrm>
        <a:prstGeom prst="roundRect">
          <a:avLst>
            <a:gd name="adj" fmla="val 3437"/>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353346</xdr:colOff>
      <xdr:row>4</xdr:row>
      <xdr:rowOff>118422</xdr:rowOff>
    </xdr:from>
    <xdr:to>
      <xdr:col>28</xdr:col>
      <xdr:colOff>118731</xdr:colOff>
      <xdr:row>38</xdr:row>
      <xdr:rowOff>61452</xdr:rowOff>
    </xdr:to>
    <xdr:sp macro="" textlink="">
      <xdr:nvSpPr>
        <xdr:cNvPr id="3" name="Rectangle: Rounded Corners 2">
          <a:extLst>
            <a:ext uri="{FF2B5EF4-FFF2-40B4-BE49-F238E27FC236}">
              <a16:creationId xmlns:a16="http://schemas.microsoft.com/office/drawing/2014/main" id="{6B0F20CD-A2AB-46FC-BA43-B19F6E3E6B99}"/>
            </a:ext>
          </a:extLst>
        </xdr:cNvPr>
        <xdr:cNvSpPr/>
      </xdr:nvSpPr>
      <xdr:spPr>
        <a:xfrm>
          <a:off x="3396054" y="859255"/>
          <a:ext cx="13761844" cy="6240114"/>
        </a:xfrm>
        <a:prstGeom prst="roundRect">
          <a:avLst>
            <a:gd name="adj" fmla="val 3437"/>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522337</xdr:colOff>
      <xdr:row>9</xdr:row>
      <xdr:rowOff>61449</xdr:rowOff>
    </xdr:from>
    <xdr:to>
      <xdr:col>12</xdr:col>
      <xdr:colOff>180724</xdr:colOff>
      <xdr:row>17</xdr:row>
      <xdr:rowOff>26611</xdr:rowOff>
    </xdr:to>
    <xdr:sp macro="" textlink="">
      <xdr:nvSpPr>
        <xdr:cNvPr id="4" name="Rectangle: Rounded Corners 3">
          <a:extLst>
            <a:ext uri="{FF2B5EF4-FFF2-40B4-BE49-F238E27FC236}">
              <a16:creationId xmlns:a16="http://schemas.microsoft.com/office/drawing/2014/main" id="{FE2F1E4E-7237-750B-7535-44B056BFAE6D}"/>
            </a:ext>
          </a:extLst>
        </xdr:cNvPr>
        <xdr:cNvSpPr/>
      </xdr:nvSpPr>
      <xdr:spPr>
        <a:xfrm>
          <a:off x="3594918" y="1720643"/>
          <a:ext cx="3960000" cy="14400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480443</xdr:colOff>
      <xdr:row>17</xdr:row>
      <xdr:rowOff>121509</xdr:rowOff>
    </xdr:from>
    <xdr:to>
      <xdr:col>12</xdr:col>
      <xdr:colOff>142410</xdr:colOff>
      <xdr:row>37</xdr:row>
      <xdr:rowOff>102741</xdr:rowOff>
    </xdr:to>
    <xdr:sp macro="" textlink="">
      <xdr:nvSpPr>
        <xdr:cNvPr id="5" name="Rectangle: Rounded Corners 4">
          <a:extLst>
            <a:ext uri="{FF2B5EF4-FFF2-40B4-BE49-F238E27FC236}">
              <a16:creationId xmlns:a16="http://schemas.microsoft.com/office/drawing/2014/main" id="{8260779E-ECD7-4936-9181-FA59A320EB90}"/>
            </a:ext>
          </a:extLst>
        </xdr:cNvPr>
        <xdr:cNvSpPr/>
      </xdr:nvSpPr>
      <xdr:spPr>
        <a:xfrm>
          <a:off x="3522040" y="3387223"/>
          <a:ext cx="3920202" cy="3823249"/>
        </a:xfrm>
        <a:prstGeom prst="roundRect">
          <a:avLst>
            <a:gd name="adj" fmla="val 557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412338</xdr:colOff>
      <xdr:row>9</xdr:row>
      <xdr:rowOff>105081</xdr:rowOff>
    </xdr:from>
    <xdr:to>
      <xdr:col>20</xdr:col>
      <xdr:colOff>536209</xdr:colOff>
      <xdr:row>23</xdr:row>
      <xdr:rowOff>44114</xdr:rowOff>
    </xdr:to>
    <xdr:sp macro="" textlink="">
      <xdr:nvSpPr>
        <xdr:cNvPr id="6" name="Rectangle: Rounded Corners 5">
          <a:extLst>
            <a:ext uri="{FF2B5EF4-FFF2-40B4-BE49-F238E27FC236}">
              <a16:creationId xmlns:a16="http://schemas.microsoft.com/office/drawing/2014/main" id="{4F84A6F0-7888-4956-A6AC-B6177657FB58}"/>
            </a:ext>
          </a:extLst>
        </xdr:cNvPr>
        <xdr:cNvSpPr/>
      </xdr:nvSpPr>
      <xdr:spPr>
        <a:xfrm>
          <a:off x="7786532" y="1764275"/>
          <a:ext cx="5040000" cy="2520000"/>
        </a:xfrm>
        <a:prstGeom prst="roundRect">
          <a:avLst>
            <a:gd name="adj" fmla="val 557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xdr:txBody>
    </xdr:sp>
    <xdr:clientData/>
  </xdr:twoCellAnchor>
  <xdr:twoCellAnchor>
    <xdr:from>
      <xdr:col>12</xdr:col>
      <xdr:colOff>428605</xdr:colOff>
      <xdr:row>23</xdr:row>
      <xdr:rowOff>149941</xdr:rowOff>
    </xdr:from>
    <xdr:to>
      <xdr:col>20</xdr:col>
      <xdr:colOff>552476</xdr:colOff>
      <xdr:row>37</xdr:row>
      <xdr:rowOff>88973</xdr:rowOff>
    </xdr:to>
    <xdr:sp macro="" textlink="">
      <xdr:nvSpPr>
        <xdr:cNvPr id="7" name="Rectangle: Rounded Corners 6">
          <a:extLst>
            <a:ext uri="{FF2B5EF4-FFF2-40B4-BE49-F238E27FC236}">
              <a16:creationId xmlns:a16="http://schemas.microsoft.com/office/drawing/2014/main" id="{4AD25178-C7E1-4B12-B141-33863FBDEF85}"/>
            </a:ext>
          </a:extLst>
        </xdr:cNvPr>
        <xdr:cNvSpPr/>
      </xdr:nvSpPr>
      <xdr:spPr>
        <a:xfrm>
          <a:off x="7731105" y="4409733"/>
          <a:ext cx="4992204" cy="2531948"/>
        </a:xfrm>
        <a:prstGeom prst="roundRect">
          <a:avLst>
            <a:gd name="adj" fmla="val 557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184355</xdr:colOff>
      <xdr:row>9</xdr:row>
      <xdr:rowOff>107540</xdr:rowOff>
    </xdr:from>
    <xdr:to>
      <xdr:col>27</xdr:col>
      <xdr:colOff>553065</xdr:colOff>
      <xdr:row>37</xdr:row>
      <xdr:rowOff>61451</xdr:rowOff>
    </xdr:to>
    <xdr:sp macro="" textlink="">
      <xdr:nvSpPr>
        <xdr:cNvPr id="8" name="Rectangle: Rounded Corners 7">
          <a:extLst>
            <a:ext uri="{FF2B5EF4-FFF2-40B4-BE49-F238E27FC236}">
              <a16:creationId xmlns:a16="http://schemas.microsoft.com/office/drawing/2014/main" id="{0C34D490-126B-4040-AF09-37F27E1AAFEC}"/>
            </a:ext>
          </a:extLst>
        </xdr:cNvPr>
        <xdr:cNvSpPr/>
      </xdr:nvSpPr>
      <xdr:spPr>
        <a:xfrm>
          <a:off x="13089194" y="1766734"/>
          <a:ext cx="4055806" cy="5115846"/>
        </a:xfrm>
        <a:prstGeom prst="roundRect">
          <a:avLst>
            <a:gd name="adj" fmla="val 557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14132</xdr:colOff>
      <xdr:row>9</xdr:row>
      <xdr:rowOff>183123</xdr:rowOff>
    </xdr:from>
    <xdr:to>
      <xdr:col>7</xdr:col>
      <xdr:colOff>551616</xdr:colOff>
      <xdr:row>16</xdr:row>
      <xdr:rowOff>83552</xdr:rowOff>
    </xdr:to>
    <xdr:sp macro="" textlink="">
      <xdr:nvSpPr>
        <xdr:cNvPr id="9" name="Rectangle: Rounded Corners 8">
          <a:extLst>
            <a:ext uri="{FF2B5EF4-FFF2-40B4-BE49-F238E27FC236}">
              <a16:creationId xmlns:a16="http://schemas.microsoft.com/office/drawing/2014/main" id="{B325E002-0DF2-463E-9A88-228F31F97415}"/>
            </a:ext>
          </a:extLst>
        </xdr:cNvPr>
        <xdr:cNvSpPr/>
      </xdr:nvSpPr>
      <xdr:spPr>
        <a:xfrm>
          <a:off x="3623606" y="1837465"/>
          <a:ext cx="1139063" cy="118714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20584</xdr:colOff>
      <xdr:row>9</xdr:row>
      <xdr:rowOff>181894</xdr:rowOff>
    </xdr:from>
    <xdr:to>
      <xdr:col>9</xdr:col>
      <xdr:colOff>558068</xdr:colOff>
      <xdr:row>16</xdr:row>
      <xdr:rowOff>50131</xdr:rowOff>
    </xdr:to>
    <xdr:sp macro="" textlink="">
      <xdr:nvSpPr>
        <xdr:cNvPr id="10" name="Rectangle: Rounded Corners 9">
          <a:extLst>
            <a:ext uri="{FF2B5EF4-FFF2-40B4-BE49-F238E27FC236}">
              <a16:creationId xmlns:a16="http://schemas.microsoft.com/office/drawing/2014/main" id="{68995580-CF74-470D-8602-577116BA3758}"/>
            </a:ext>
          </a:extLst>
        </xdr:cNvPr>
        <xdr:cNvSpPr/>
      </xdr:nvSpPr>
      <xdr:spPr>
        <a:xfrm>
          <a:off x="4833216" y="1836236"/>
          <a:ext cx="1139063" cy="1154948"/>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27037</xdr:colOff>
      <xdr:row>10</xdr:row>
      <xdr:rowOff>11673</xdr:rowOff>
    </xdr:from>
    <xdr:to>
      <xdr:col>11</xdr:col>
      <xdr:colOff>564521</xdr:colOff>
      <xdr:row>16</xdr:row>
      <xdr:rowOff>83551</xdr:rowOff>
    </xdr:to>
    <xdr:sp macro="" textlink="">
      <xdr:nvSpPr>
        <xdr:cNvPr id="11" name="Rectangle: Rounded Corners 10">
          <a:extLst>
            <a:ext uri="{FF2B5EF4-FFF2-40B4-BE49-F238E27FC236}">
              <a16:creationId xmlns:a16="http://schemas.microsoft.com/office/drawing/2014/main" id="{E2AAE8A4-FCD5-4369-9705-7512158FA54E}"/>
            </a:ext>
          </a:extLst>
        </xdr:cNvPr>
        <xdr:cNvSpPr/>
      </xdr:nvSpPr>
      <xdr:spPr>
        <a:xfrm>
          <a:off x="6042826" y="1849831"/>
          <a:ext cx="1139063" cy="1174773"/>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430161</xdr:colOff>
      <xdr:row>4</xdr:row>
      <xdr:rowOff>138266</xdr:rowOff>
    </xdr:from>
    <xdr:to>
      <xdr:col>12</xdr:col>
      <xdr:colOff>230443</xdr:colOff>
      <xdr:row>6</xdr:row>
      <xdr:rowOff>153629</xdr:rowOff>
    </xdr:to>
    <xdr:sp macro="" textlink="">
      <xdr:nvSpPr>
        <xdr:cNvPr id="12" name="TextBox 11">
          <a:extLst>
            <a:ext uri="{FF2B5EF4-FFF2-40B4-BE49-F238E27FC236}">
              <a16:creationId xmlns:a16="http://schemas.microsoft.com/office/drawing/2014/main" id="{FE0E1B97-24CB-99AC-AB38-4B616E35A71D}"/>
            </a:ext>
          </a:extLst>
        </xdr:cNvPr>
        <xdr:cNvSpPr txBox="1"/>
      </xdr:nvSpPr>
      <xdr:spPr>
        <a:xfrm>
          <a:off x="3502742" y="875685"/>
          <a:ext cx="4101895" cy="38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385F7C"/>
              </a:solidFill>
            </a:rPr>
            <a:t>FURNITURE SALES OVERVIEW</a:t>
          </a:r>
        </a:p>
      </xdr:txBody>
    </xdr:sp>
    <xdr:clientData/>
  </xdr:twoCellAnchor>
  <xdr:twoCellAnchor>
    <xdr:from>
      <xdr:col>5</xdr:col>
      <xdr:colOff>430160</xdr:colOff>
      <xdr:row>6</xdr:row>
      <xdr:rowOff>153629</xdr:rowOff>
    </xdr:from>
    <xdr:to>
      <xdr:col>14</xdr:col>
      <xdr:colOff>568426</xdr:colOff>
      <xdr:row>8</xdr:row>
      <xdr:rowOff>61451</xdr:rowOff>
    </xdr:to>
    <xdr:sp macro="" textlink="">
      <xdr:nvSpPr>
        <xdr:cNvPr id="13" name="TextBox 12">
          <a:extLst>
            <a:ext uri="{FF2B5EF4-FFF2-40B4-BE49-F238E27FC236}">
              <a16:creationId xmlns:a16="http://schemas.microsoft.com/office/drawing/2014/main" id="{FDE82AB0-5EC8-9A1C-E883-162848173FCA}"/>
            </a:ext>
          </a:extLst>
        </xdr:cNvPr>
        <xdr:cNvSpPr txBox="1"/>
      </xdr:nvSpPr>
      <xdr:spPr>
        <a:xfrm>
          <a:off x="3502741" y="1259758"/>
          <a:ext cx="5668911" cy="276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 summary</a:t>
          </a:r>
          <a:r>
            <a:rPr lang="en-IN" sz="1200" baseline="0"/>
            <a:t> Of sales Peformance,shippingg Trends and regional distributs acorss the U.S</a:t>
          </a:r>
          <a:endParaRPr lang="en-IN" sz="1200"/>
        </a:p>
      </xdr:txBody>
    </xdr:sp>
    <xdr:clientData/>
  </xdr:twoCellAnchor>
  <xdr:twoCellAnchor>
    <xdr:from>
      <xdr:col>6</xdr:col>
      <xdr:colOff>168993</xdr:colOff>
      <xdr:row>9</xdr:row>
      <xdr:rowOff>167763</xdr:rowOff>
    </xdr:from>
    <xdr:to>
      <xdr:col>7</xdr:col>
      <xdr:colOff>276533</xdr:colOff>
      <xdr:row>11</xdr:row>
      <xdr:rowOff>61452</xdr:rowOff>
    </xdr:to>
    <xdr:sp macro="" textlink="">
      <xdr:nvSpPr>
        <xdr:cNvPr id="14" name="TextBox 13">
          <a:extLst>
            <a:ext uri="{FF2B5EF4-FFF2-40B4-BE49-F238E27FC236}">
              <a16:creationId xmlns:a16="http://schemas.microsoft.com/office/drawing/2014/main" id="{7E25B668-28B2-48B0-9CBF-F5D2F12E5484}"/>
            </a:ext>
          </a:extLst>
        </xdr:cNvPr>
        <xdr:cNvSpPr txBox="1"/>
      </xdr:nvSpPr>
      <xdr:spPr>
        <a:xfrm>
          <a:off x="3829162" y="1901527"/>
          <a:ext cx="717568" cy="2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600">
              <a:solidFill>
                <a:schemeClr val="bg1">
                  <a:lumMod val="50000"/>
                </a:schemeClr>
              </a:solidFill>
            </a:rPr>
            <a:t>SALES</a:t>
          </a:r>
        </a:p>
      </xdr:txBody>
    </xdr:sp>
    <xdr:clientData/>
  </xdr:twoCellAnchor>
  <xdr:twoCellAnchor>
    <xdr:from>
      <xdr:col>8</xdr:col>
      <xdr:colOff>244579</xdr:colOff>
      <xdr:row>9</xdr:row>
      <xdr:rowOff>167763</xdr:rowOff>
    </xdr:from>
    <xdr:to>
      <xdr:col>9</xdr:col>
      <xdr:colOff>518026</xdr:colOff>
      <xdr:row>11</xdr:row>
      <xdr:rowOff>133684</xdr:rowOff>
    </xdr:to>
    <xdr:sp macro="" textlink="">
      <xdr:nvSpPr>
        <xdr:cNvPr id="15" name="TextBox 14">
          <a:extLst>
            <a:ext uri="{FF2B5EF4-FFF2-40B4-BE49-F238E27FC236}">
              <a16:creationId xmlns:a16="http://schemas.microsoft.com/office/drawing/2014/main" id="{2BA70B4E-8156-447F-8DA7-7FED628519A8}"/>
            </a:ext>
          </a:extLst>
        </xdr:cNvPr>
        <xdr:cNvSpPr txBox="1"/>
      </xdr:nvSpPr>
      <xdr:spPr>
        <a:xfrm>
          <a:off x="5057211" y="1822105"/>
          <a:ext cx="875026" cy="333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600">
              <a:solidFill>
                <a:schemeClr val="bg1">
                  <a:lumMod val="50000"/>
                </a:schemeClr>
              </a:solidFill>
              <a:latin typeface="+mn-lt"/>
              <a:ea typeface="+mn-ea"/>
              <a:cs typeface="+mn-cs"/>
            </a:rPr>
            <a:t>PROFIT</a:t>
          </a:r>
        </a:p>
      </xdr:txBody>
    </xdr:sp>
    <xdr:clientData/>
  </xdr:twoCellAnchor>
  <xdr:twoCellAnchor>
    <xdr:from>
      <xdr:col>10</xdr:col>
      <xdr:colOff>81635</xdr:colOff>
      <xdr:row>10</xdr:row>
      <xdr:rowOff>658</xdr:rowOff>
    </xdr:from>
    <xdr:to>
      <xdr:col>11</xdr:col>
      <xdr:colOff>551447</xdr:colOff>
      <xdr:row>11</xdr:row>
      <xdr:rowOff>150395</xdr:rowOff>
    </xdr:to>
    <xdr:sp macro="" textlink="">
      <xdr:nvSpPr>
        <xdr:cNvPr id="16" name="TextBox 15">
          <a:extLst>
            <a:ext uri="{FF2B5EF4-FFF2-40B4-BE49-F238E27FC236}">
              <a16:creationId xmlns:a16="http://schemas.microsoft.com/office/drawing/2014/main" id="{98DEBB50-AA05-442D-8FD3-A66617DFAA16}"/>
            </a:ext>
          </a:extLst>
        </xdr:cNvPr>
        <xdr:cNvSpPr txBox="1"/>
      </xdr:nvSpPr>
      <xdr:spPr>
        <a:xfrm>
          <a:off x="6097424" y="1838816"/>
          <a:ext cx="1071391" cy="333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dk1"/>
              </a:solidFill>
              <a:latin typeface="+mn-lt"/>
              <a:ea typeface="+mn-ea"/>
              <a:cs typeface="+mn-cs"/>
            </a:rPr>
            <a:t> </a:t>
          </a:r>
          <a:r>
            <a:rPr lang="en-IN" sz="1600">
              <a:solidFill>
                <a:schemeClr val="bg1">
                  <a:lumMod val="50000"/>
                </a:schemeClr>
              </a:solidFill>
              <a:latin typeface="+mn-lt"/>
              <a:ea typeface="+mn-ea"/>
              <a:cs typeface="+mn-cs"/>
            </a:rPr>
            <a:t>QUANITY</a:t>
          </a:r>
        </a:p>
      </xdr:txBody>
    </xdr:sp>
    <xdr:clientData/>
  </xdr:twoCellAnchor>
  <xdr:twoCellAnchor>
    <xdr:from>
      <xdr:col>12</xdr:col>
      <xdr:colOff>537189</xdr:colOff>
      <xdr:row>9</xdr:row>
      <xdr:rowOff>163633</xdr:rowOff>
    </xdr:from>
    <xdr:to>
      <xdr:col>15</xdr:col>
      <xdr:colOff>183816</xdr:colOff>
      <xdr:row>11</xdr:row>
      <xdr:rowOff>66842</xdr:rowOff>
    </xdr:to>
    <xdr:sp macro="" textlink="">
      <xdr:nvSpPr>
        <xdr:cNvPr id="17" name="TextBox 16">
          <a:extLst>
            <a:ext uri="{FF2B5EF4-FFF2-40B4-BE49-F238E27FC236}">
              <a16:creationId xmlns:a16="http://schemas.microsoft.com/office/drawing/2014/main" id="{86309D9D-DF1E-4F65-9541-A03EE479C4ED}"/>
            </a:ext>
          </a:extLst>
        </xdr:cNvPr>
        <xdr:cNvSpPr txBox="1"/>
      </xdr:nvSpPr>
      <xdr:spPr>
        <a:xfrm>
          <a:off x="7756136" y="1817975"/>
          <a:ext cx="1451364" cy="27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385F7C"/>
              </a:solidFill>
            </a:rPr>
            <a:t> </a:t>
          </a:r>
          <a:r>
            <a:rPr lang="en-IN" sz="1600">
              <a:solidFill>
                <a:srgbClr val="385F7C"/>
              </a:solidFill>
            </a:rPr>
            <a:t>SALES TRENDS</a:t>
          </a:r>
        </a:p>
      </xdr:txBody>
    </xdr:sp>
    <xdr:clientData/>
  </xdr:twoCellAnchor>
  <xdr:twoCellAnchor>
    <xdr:from>
      <xdr:col>12</xdr:col>
      <xdr:colOff>572615</xdr:colOff>
      <xdr:row>24</xdr:row>
      <xdr:rowOff>31954</xdr:rowOff>
    </xdr:from>
    <xdr:to>
      <xdr:col>16</xdr:col>
      <xdr:colOff>217237</xdr:colOff>
      <xdr:row>25</xdr:row>
      <xdr:rowOff>150394</xdr:rowOff>
    </xdr:to>
    <xdr:sp macro="" textlink="">
      <xdr:nvSpPr>
        <xdr:cNvPr id="19" name="TextBox 18">
          <a:extLst>
            <a:ext uri="{FF2B5EF4-FFF2-40B4-BE49-F238E27FC236}">
              <a16:creationId xmlns:a16="http://schemas.microsoft.com/office/drawing/2014/main" id="{8CFC3FF4-2508-4340-86CA-AEC23FF25052}"/>
            </a:ext>
          </a:extLst>
        </xdr:cNvPr>
        <xdr:cNvSpPr txBox="1"/>
      </xdr:nvSpPr>
      <xdr:spPr>
        <a:xfrm>
          <a:off x="7791562" y="4443533"/>
          <a:ext cx="2050938" cy="302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385F7C"/>
              </a:solidFill>
            </a:rPr>
            <a:t> </a:t>
          </a:r>
          <a:r>
            <a:rPr lang="en-IN" sz="1600">
              <a:solidFill>
                <a:srgbClr val="385F7C"/>
              </a:solidFill>
            </a:rPr>
            <a:t>SHIPPING</a:t>
          </a:r>
          <a:r>
            <a:rPr lang="en-IN" sz="1600" baseline="0">
              <a:solidFill>
                <a:srgbClr val="385F7C"/>
              </a:solidFill>
            </a:rPr>
            <a:t> DURATION</a:t>
          </a:r>
          <a:endParaRPr lang="en-IN" sz="1600">
            <a:solidFill>
              <a:srgbClr val="385F7C"/>
            </a:solidFill>
          </a:endParaRPr>
        </a:p>
      </xdr:txBody>
    </xdr:sp>
    <xdr:clientData/>
  </xdr:twoCellAnchor>
  <xdr:twoCellAnchor>
    <xdr:from>
      <xdr:col>21</xdr:col>
      <xdr:colOff>273830</xdr:colOff>
      <xdr:row>10</xdr:row>
      <xdr:rowOff>100802</xdr:rowOff>
    </xdr:from>
    <xdr:to>
      <xdr:col>25</xdr:col>
      <xdr:colOff>334209</xdr:colOff>
      <xdr:row>12</xdr:row>
      <xdr:rowOff>66843</xdr:rowOff>
    </xdr:to>
    <xdr:sp macro="" textlink="">
      <xdr:nvSpPr>
        <xdr:cNvPr id="20" name="TextBox 19">
          <a:extLst>
            <a:ext uri="{FF2B5EF4-FFF2-40B4-BE49-F238E27FC236}">
              <a16:creationId xmlns:a16="http://schemas.microsoft.com/office/drawing/2014/main" id="{7A40395A-C0FE-41F9-A906-0FAB543F651B}"/>
            </a:ext>
          </a:extLst>
        </xdr:cNvPr>
        <xdr:cNvSpPr txBox="1"/>
      </xdr:nvSpPr>
      <xdr:spPr>
        <a:xfrm>
          <a:off x="12906988" y="1938960"/>
          <a:ext cx="2466695" cy="333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385F7C"/>
              </a:solidFill>
            </a:rPr>
            <a:t> </a:t>
          </a:r>
          <a:r>
            <a:rPr lang="en-IN" sz="1600" baseline="0">
              <a:solidFill>
                <a:srgbClr val="385F7C"/>
              </a:solidFill>
            </a:rPr>
            <a:t>DISTRIBUTION BY STATE</a:t>
          </a:r>
          <a:endParaRPr lang="en-IN" sz="1600">
            <a:solidFill>
              <a:srgbClr val="385F7C"/>
            </a:solidFill>
          </a:endParaRPr>
        </a:p>
      </xdr:txBody>
    </xdr:sp>
    <xdr:clientData/>
  </xdr:twoCellAnchor>
  <xdr:twoCellAnchor>
    <xdr:from>
      <xdr:col>5</xdr:col>
      <xdr:colOff>572615</xdr:colOff>
      <xdr:row>17</xdr:row>
      <xdr:rowOff>149630</xdr:rowOff>
    </xdr:from>
    <xdr:to>
      <xdr:col>8</xdr:col>
      <xdr:colOff>536281</xdr:colOff>
      <xdr:row>19</xdr:row>
      <xdr:rowOff>40021</xdr:rowOff>
    </xdr:to>
    <xdr:sp macro="" textlink="">
      <xdr:nvSpPr>
        <xdr:cNvPr id="21" name="TextBox 20">
          <a:extLst>
            <a:ext uri="{FF2B5EF4-FFF2-40B4-BE49-F238E27FC236}">
              <a16:creationId xmlns:a16="http://schemas.microsoft.com/office/drawing/2014/main" id="{746F632F-F63F-4B91-8493-BF564EC6FD5E}"/>
            </a:ext>
          </a:extLst>
        </xdr:cNvPr>
        <xdr:cNvSpPr txBox="1"/>
      </xdr:nvSpPr>
      <xdr:spPr>
        <a:xfrm>
          <a:off x="3614212" y="3415344"/>
          <a:ext cx="1788624" cy="274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385F7C"/>
              </a:solidFill>
            </a:rPr>
            <a:t> </a:t>
          </a:r>
          <a:r>
            <a:rPr lang="en-IN" sz="1600">
              <a:solidFill>
                <a:srgbClr val="385F7C"/>
              </a:solidFill>
            </a:rPr>
            <a:t>SHIPING</a:t>
          </a:r>
          <a:r>
            <a:rPr lang="en-IN" sz="1600" baseline="0">
              <a:solidFill>
                <a:srgbClr val="385F7C"/>
              </a:solidFill>
            </a:rPr>
            <a:t> MODE</a:t>
          </a:r>
          <a:endParaRPr lang="en-IN" sz="1600">
            <a:solidFill>
              <a:srgbClr val="385F7C"/>
            </a:solidFill>
          </a:endParaRPr>
        </a:p>
      </xdr:txBody>
    </xdr:sp>
    <xdr:clientData/>
  </xdr:twoCellAnchor>
  <xdr:twoCellAnchor>
    <xdr:from>
      <xdr:col>6</xdr:col>
      <xdr:colOff>100263</xdr:colOff>
      <xdr:row>11</xdr:row>
      <xdr:rowOff>153403</xdr:rowOff>
    </xdr:from>
    <xdr:to>
      <xdr:col>7</xdr:col>
      <xdr:colOff>551447</xdr:colOff>
      <xdr:row>14</xdr:row>
      <xdr:rowOff>3009</xdr:rowOff>
    </xdr:to>
    <xdr:sp macro="" textlink="sales">
      <xdr:nvSpPr>
        <xdr:cNvPr id="22" name="TextBox 21">
          <a:extLst>
            <a:ext uri="{FF2B5EF4-FFF2-40B4-BE49-F238E27FC236}">
              <a16:creationId xmlns:a16="http://schemas.microsoft.com/office/drawing/2014/main" id="{061866C2-9F66-4B4D-A897-51725C6112B9}"/>
            </a:ext>
          </a:extLst>
        </xdr:cNvPr>
        <xdr:cNvSpPr txBox="1"/>
      </xdr:nvSpPr>
      <xdr:spPr>
        <a:xfrm>
          <a:off x="3709737" y="2175377"/>
          <a:ext cx="1052763"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78B0F7-C932-4F6D-99A7-FFB56109E3CB}" type="TxLink">
            <a:rPr lang="en-US" sz="1800" b="0" i="0" u="none" strike="noStrike">
              <a:solidFill>
                <a:srgbClr val="385F7C"/>
              </a:solidFill>
              <a:latin typeface="Calibri"/>
              <a:ea typeface="+mn-ea"/>
              <a:cs typeface="Calibri"/>
            </a:rPr>
            <a:pPr marL="0" indent="0"/>
            <a:t>$49.7K</a:t>
          </a:fld>
          <a:endParaRPr lang="en-IN" sz="1800" b="0" i="0" u="none" strike="noStrike">
            <a:solidFill>
              <a:srgbClr val="385F7C"/>
            </a:solidFill>
            <a:latin typeface="Calibri"/>
            <a:ea typeface="+mn-ea"/>
            <a:cs typeface="Calibri"/>
          </a:endParaRPr>
        </a:p>
      </xdr:txBody>
    </xdr:sp>
    <xdr:clientData/>
  </xdr:twoCellAnchor>
  <xdr:twoCellAnchor>
    <xdr:from>
      <xdr:col>10</xdr:col>
      <xdr:colOff>169111</xdr:colOff>
      <xdr:row>11</xdr:row>
      <xdr:rowOff>153403</xdr:rowOff>
    </xdr:from>
    <xdr:to>
      <xdr:col>12</xdr:col>
      <xdr:colOff>18716</xdr:colOff>
      <xdr:row>14</xdr:row>
      <xdr:rowOff>3009</xdr:rowOff>
    </xdr:to>
    <xdr:sp macro="" textlink="quantity">
      <xdr:nvSpPr>
        <xdr:cNvPr id="23" name="TextBox 22">
          <a:extLst>
            <a:ext uri="{FF2B5EF4-FFF2-40B4-BE49-F238E27FC236}">
              <a16:creationId xmlns:a16="http://schemas.microsoft.com/office/drawing/2014/main" id="{8791C42E-7251-4EBD-A027-E685121B984C}"/>
            </a:ext>
          </a:extLst>
        </xdr:cNvPr>
        <xdr:cNvSpPr txBox="1"/>
      </xdr:nvSpPr>
      <xdr:spPr>
        <a:xfrm>
          <a:off x="6184900" y="2175377"/>
          <a:ext cx="1052763"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646B5D-9C8E-49A6-A460-947A92522CFE}" type="TxLink">
            <a:rPr lang="en-US" sz="1800" b="0" i="0" u="none" strike="noStrike">
              <a:solidFill>
                <a:srgbClr val="385F7C"/>
              </a:solidFill>
              <a:latin typeface="Calibri"/>
              <a:ea typeface="+mn-ea"/>
              <a:cs typeface="Calibri"/>
            </a:rPr>
            <a:pPr marL="0" indent="0"/>
            <a:t>476</a:t>
          </a:fld>
          <a:endParaRPr lang="en-IN" sz="1800" b="0" i="0" u="none" strike="noStrike">
            <a:solidFill>
              <a:srgbClr val="385F7C"/>
            </a:solidFill>
            <a:latin typeface="Calibri"/>
            <a:ea typeface="+mn-ea"/>
            <a:cs typeface="Calibri"/>
          </a:endParaRPr>
        </a:p>
      </xdr:txBody>
    </xdr:sp>
    <xdr:clientData/>
  </xdr:twoCellAnchor>
  <xdr:twoCellAnchor>
    <xdr:from>
      <xdr:col>8</xdr:col>
      <xdr:colOff>245310</xdr:colOff>
      <xdr:row>11</xdr:row>
      <xdr:rowOff>163764</xdr:rowOff>
    </xdr:from>
    <xdr:to>
      <xdr:col>9</xdr:col>
      <xdr:colOff>475248</xdr:colOff>
      <xdr:row>13</xdr:row>
      <xdr:rowOff>176464</xdr:rowOff>
    </xdr:to>
    <xdr:sp macro="" textlink="profit">
      <xdr:nvSpPr>
        <xdr:cNvPr id="24" name="TextBox 23">
          <a:extLst>
            <a:ext uri="{FF2B5EF4-FFF2-40B4-BE49-F238E27FC236}">
              <a16:creationId xmlns:a16="http://schemas.microsoft.com/office/drawing/2014/main" id="{E41188FD-597A-479B-AE10-1B38A34873E7}"/>
            </a:ext>
          </a:extLst>
        </xdr:cNvPr>
        <xdr:cNvSpPr txBox="1"/>
      </xdr:nvSpPr>
      <xdr:spPr>
        <a:xfrm>
          <a:off x="5057942" y="2185738"/>
          <a:ext cx="831517" cy="38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9C9E0E-F39F-4970-A805-FF1448C22631}" type="TxLink">
            <a:rPr lang="en-US" sz="1800" b="0" i="0" u="none" strike="noStrike">
              <a:solidFill>
                <a:srgbClr val="385F7C"/>
              </a:solidFill>
              <a:latin typeface="Calibri"/>
              <a:cs typeface="Calibri"/>
            </a:rPr>
            <a:t>$3.2K</a:t>
          </a:fld>
          <a:endParaRPr lang="en-IN" sz="1800">
            <a:solidFill>
              <a:srgbClr val="385F7C"/>
            </a:solidFill>
          </a:endParaRPr>
        </a:p>
      </xdr:txBody>
    </xdr:sp>
    <xdr:clientData/>
  </xdr:twoCellAnchor>
  <xdr:twoCellAnchor>
    <xdr:from>
      <xdr:col>10</xdr:col>
      <xdr:colOff>66843</xdr:colOff>
      <xdr:row>14</xdr:row>
      <xdr:rowOff>51134</xdr:rowOff>
    </xdr:from>
    <xdr:to>
      <xdr:col>11</xdr:col>
      <xdr:colOff>568159</xdr:colOff>
      <xdr:row>16</xdr:row>
      <xdr:rowOff>51134</xdr:rowOff>
    </xdr:to>
    <xdr:sp macro="" textlink="quantityyoy">
      <xdr:nvSpPr>
        <xdr:cNvPr id="25" name="TextBox 24">
          <a:extLst>
            <a:ext uri="{FF2B5EF4-FFF2-40B4-BE49-F238E27FC236}">
              <a16:creationId xmlns:a16="http://schemas.microsoft.com/office/drawing/2014/main" id="{65E5A97E-626E-4C35-9160-12EF8DF0FC4B}"/>
            </a:ext>
          </a:extLst>
        </xdr:cNvPr>
        <xdr:cNvSpPr txBox="1"/>
      </xdr:nvSpPr>
      <xdr:spPr>
        <a:xfrm>
          <a:off x="6082632" y="2624555"/>
          <a:ext cx="1102895" cy="367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174979-7D14-4C7E-8071-7588FD3ADC64}" type="TxLink">
            <a:rPr lang="en-US" sz="1400" b="0" i="0" u="none" strike="noStrike">
              <a:solidFill>
                <a:schemeClr val="tx1">
                  <a:lumMod val="50000"/>
                  <a:lumOff val="50000"/>
                </a:schemeClr>
              </a:solidFill>
              <a:latin typeface="Calibri"/>
              <a:ea typeface="+mn-ea"/>
              <a:cs typeface="Calibri"/>
            </a:rPr>
            <a:pPr marL="0" indent="0"/>
            <a:t>🔺94% YOY</a:t>
          </a:fld>
          <a:endParaRPr lang="en-IN" sz="1400" b="0" i="0" u="none" strike="noStrike">
            <a:solidFill>
              <a:schemeClr val="tx1">
                <a:lumMod val="50000"/>
                <a:lumOff val="50000"/>
              </a:schemeClr>
            </a:solidFill>
            <a:latin typeface="Calibri"/>
            <a:ea typeface="+mn-ea"/>
            <a:cs typeface="Calibri"/>
          </a:endParaRPr>
        </a:p>
      </xdr:txBody>
    </xdr:sp>
    <xdr:clientData/>
  </xdr:twoCellAnchor>
  <xdr:twoCellAnchor>
    <xdr:from>
      <xdr:col>6</xdr:col>
      <xdr:colOff>68847</xdr:colOff>
      <xdr:row>14</xdr:row>
      <xdr:rowOff>34424</xdr:rowOff>
    </xdr:from>
    <xdr:to>
      <xdr:col>7</xdr:col>
      <xdr:colOff>520031</xdr:colOff>
      <xdr:row>16</xdr:row>
      <xdr:rowOff>67845</xdr:rowOff>
    </xdr:to>
    <xdr:sp macro="" textlink="salesyoy">
      <xdr:nvSpPr>
        <xdr:cNvPr id="26" name="TextBox 25">
          <a:extLst>
            <a:ext uri="{FF2B5EF4-FFF2-40B4-BE49-F238E27FC236}">
              <a16:creationId xmlns:a16="http://schemas.microsoft.com/office/drawing/2014/main" id="{E4028067-107A-4FFE-BDE3-C7C2BFBF681E}"/>
            </a:ext>
          </a:extLst>
        </xdr:cNvPr>
        <xdr:cNvSpPr txBox="1"/>
      </xdr:nvSpPr>
      <xdr:spPr>
        <a:xfrm>
          <a:off x="3678321" y="2607845"/>
          <a:ext cx="1052763"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6DFFCA-0C04-42AB-A41A-54FD742587E2}" type="TxLink">
            <a:rPr lang="en-US" sz="1400" b="0" i="0" u="none" strike="noStrike">
              <a:solidFill>
                <a:schemeClr val="tx1">
                  <a:lumMod val="50000"/>
                  <a:lumOff val="50000"/>
                </a:schemeClr>
              </a:solidFill>
              <a:latin typeface="Calibri"/>
              <a:cs typeface="Calibri"/>
            </a:rPr>
            <a:t>🔺76% YOY</a:t>
          </a:fld>
          <a:endParaRPr lang="en-IN" sz="1400">
            <a:solidFill>
              <a:schemeClr val="tx1">
                <a:lumMod val="50000"/>
                <a:lumOff val="50000"/>
              </a:schemeClr>
            </a:solidFill>
          </a:endParaRPr>
        </a:p>
      </xdr:txBody>
    </xdr:sp>
    <xdr:clientData/>
  </xdr:twoCellAnchor>
  <xdr:twoCellAnchor>
    <xdr:from>
      <xdr:col>8</xdr:col>
      <xdr:colOff>43782</xdr:colOff>
      <xdr:row>14</xdr:row>
      <xdr:rowOff>18716</xdr:rowOff>
    </xdr:from>
    <xdr:to>
      <xdr:col>9</xdr:col>
      <xdr:colOff>543092</xdr:colOff>
      <xdr:row>16</xdr:row>
      <xdr:rowOff>83552</xdr:rowOff>
    </xdr:to>
    <xdr:sp macro="" textlink="profityoy">
      <xdr:nvSpPr>
        <xdr:cNvPr id="27" name="TextBox 26">
          <a:extLst>
            <a:ext uri="{FF2B5EF4-FFF2-40B4-BE49-F238E27FC236}">
              <a16:creationId xmlns:a16="http://schemas.microsoft.com/office/drawing/2014/main" id="{05DF6033-FE14-4790-9DE7-38EDC620406C}"/>
            </a:ext>
          </a:extLst>
        </xdr:cNvPr>
        <xdr:cNvSpPr txBox="1"/>
      </xdr:nvSpPr>
      <xdr:spPr>
        <a:xfrm>
          <a:off x="4856414" y="2592137"/>
          <a:ext cx="1100889" cy="43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17EBDE-BB22-4777-9577-1D47E7B113E3}" type="TxLink">
            <a:rPr lang="en-US" sz="1400" b="0" i="0" u="none" strike="noStrike">
              <a:solidFill>
                <a:schemeClr val="tx1">
                  <a:lumMod val="50000"/>
                  <a:lumOff val="50000"/>
                </a:schemeClr>
              </a:solidFill>
              <a:latin typeface="Calibri"/>
              <a:ea typeface="+mn-ea"/>
              <a:cs typeface="Calibri"/>
            </a:rPr>
            <a:pPr marL="0" indent="0"/>
            <a:t>🔻417% YOY</a:t>
          </a:fld>
          <a:endParaRPr lang="en-IN" sz="1400" b="0" i="0" u="none" strike="noStrike">
            <a:solidFill>
              <a:schemeClr val="tx1">
                <a:lumMod val="50000"/>
                <a:lumOff val="50000"/>
              </a:schemeClr>
            </a:solidFill>
            <a:latin typeface="Calibri"/>
            <a:ea typeface="+mn-ea"/>
            <a:cs typeface="Calibri"/>
          </a:endParaRPr>
        </a:p>
      </xdr:txBody>
    </xdr:sp>
    <xdr:clientData/>
  </xdr:twoCellAnchor>
  <xdr:twoCellAnchor>
    <xdr:from>
      <xdr:col>12</xdr:col>
      <xdr:colOff>484607</xdr:colOff>
      <xdr:row>10</xdr:row>
      <xdr:rowOff>33421</xdr:rowOff>
    </xdr:from>
    <xdr:to>
      <xdr:col>20</xdr:col>
      <xdr:colOff>417763</xdr:colOff>
      <xdr:row>22</xdr:row>
      <xdr:rowOff>66842</xdr:rowOff>
    </xdr:to>
    <xdr:graphicFrame macro="">
      <xdr:nvGraphicFramePr>
        <xdr:cNvPr id="28" name="Chart 27">
          <a:extLst>
            <a:ext uri="{FF2B5EF4-FFF2-40B4-BE49-F238E27FC236}">
              <a16:creationId xmlns:a16="http://schemas.microsoft.com/office/drawing/2014/main" id="{26B8E12A-5E22-426E-A926-D9AA8341F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585107</xdr:colOff>
      <xdr:row>11</xdr:row>
      <xdr:rowOff>79727</xdr:rowOff>
    </xdr:from>
    <xdr:to>
      <xdr:col>17</xdr:col>
      <xdr:colOff>418171</xdr:colOff>
      <xdr:row>12</xdr:row>
      <xdr:rowOff>139390</xdr:rowOff>
    </xdr:to>
    <xdr:sp macro="" textlink="salestrends">
      <xdr:nvSpPr>
        <xdr:cNvPr id="30" name="TextBox 29">
          <a:extLst>
            <a:ext uri="{FF2B5EF4-FFF2-40B4-BE49-F238E27FC236}">
              <a16:creationId xmlns:a16="http://schemas.microsoft.com/office/drawing/2014/main" id="{61EF1288-0AF4-4264-9ECA-1F14EF4B63A2}"/>
            </a:ext>
          </a:extLst>
        </xdr:cNvPr>
        <xdr:cNvSpPr txBox="1"/>
      </xdr:nvSpPr>
      <xdr:spPr>
        <a:xfrm>
          <a:off x="7833400" y="2124117"/>
          <a:ext cx="2853186" cy="245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B6C6B8-8101-45D4-940C-21602F555121}" type="TxLink">
            <a:rPr lang="en-US" sz="1100" b="0" i="0" u="none" strike="noStrike">
              <a:solidFill>
                <a:srgbClr val="000000"/>
              </a:solidFill>
              <a:latin typeface="Calibri"/>
              <a:cs typeface="Calibri"/>
            </a:rPr>
            <a:t>Peak Sales Month: Dec with $11,593 in sales</a:t>
          </a:fld>
          <a:endParaRPr lang="en-IN" sz="1600">
            <a:solidFill>
              <a:schemeClr val="bg1">
                <a:lumMod val="50000"/>
              </a:schemeClr>
            </a:solidFill>
            <a:latin typeface="+mn-lt"/>
            <a:ea typeface="+mn-ea"/>
            <a:cs typeface="+mn-cs"/>
          </a:endParaRPr>
        </a:p>
      </xdr:txBody>
    </xdr:sp>
    <xdr:clientData/>
  </xdr:twoCellAnchor>
  <xdr:twoCellAnchor>
    <xdr:from>
      <xdr:col>12</xdr:col>
      <xdr:colOff>542396</xdr:colOff>
      <xdr:row>24</xdr:row>
      <xdr:rowOff>26459</xdr:rowOff>
    </xdr:from>
    <xdr:to>
      <xdr:col>20</xdr:col>
      <xdr:colOff>423334</xdr:colOff>
      <xdr:row>36</xdr:row>
      <xdr:rowOff>132293</xdr:rowOff>
    </xdr:to>
    <xdr:graphicFrame macro="">
      <xdr:nvGraphicFramePr>
        <xdr:cNvPr id="31" name="Chart 30">
          <a:extLst>
            <a:ext uri="{FF2B5EF4-FFF2-40B4-BE49-F238E27FC236}">
              <a16:creationId xmlns:a16="http://schemas.microsoft.com/office/drawing/2014/main" id="{39F8C94E-535C-4D08-B9A5-4B97B752C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517671</xdr:colOff>
      <xdr:row>25</xdr:row>
      <xdr:rowOff>139742</xdr:rowOff>
    </xdr:from>
    <xdr:to>
      <xdr:col>17</xdr:col>
      <xdr:colOff>350735</xdr:colOff>
      <xdr:row>27</xdr:row>
      <xdr:rowOff>14196</xdr:rowOff>
    </xdr:to>
    <xdr:sp macro="" textlink="duration">
      <xdr:nvSpPr>
        <xdr:cNvPr id="32" name="TextBox 31">
          <a:extLst>
            <a:ext uri="{FF2B5EF4-FFF2-40B4-BE49-F238E27FC236}">
              <a16:creationId xmlns:a16="http://schemas.microsoft.com/office/drawing/2014/main" id="{1E4E22B7-CEA9-4108-AC7F-8597E0CD9B71}"/>
            </a:ext>
          </a:extLst>
        </xdr:cNvPr>
        <xdr:cNvSpPr txBox="1"/>
      </xdr:nvSpPr>
      <xdr:spPr>
        <a:xfrm>
          <a:off x="7820171" y="4769950"/>
          <a:ext cx="2875772" cy="244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F70199-C11F-4E97-8EA9-AAAA0A588144}" type="TxLink">
            <a:rPr lang="en-US" sz="1100" b="0" i="0" u="none" strike="noStrike">
              <a:solidFill>
                <a:srgbClr val="000000"/>
              </a:solidFill>
              <a:latin typeface="Calibri"/>
              <a:cs typeface="Calibri"/>
            </a:rPr>
            <a:t>most orders(23%) were deliverd in 4-Days</a:t>
          </a:fld>
          <a:endParaRPr lang="en-IN" sz="1600">
            <a:solidFill>
              <a:schemeClr val="bg1">
                <a:lumMod val="50000"/>
              </a:schemeClr>
            </a:solidFill>
            <a:latin typeface="+mn-lt"/>
            <a:ea typeface="+mn-ea"/>
            <a:cs typeface="+mn-cs"/>
          </a:endParaRPr>
        </a:p>
      </xdr:txBody>
    </xdr:sp>
    <xdr:clientData/>
  </xdr:twoCellAnchor>
  <xdr:twoCellAnchor>
    <xdr:from>
      <xdr:col>6</xdr:col>
      <xdr:colOff>6050</xdr:colOff>
      <xdr:row>18</xdr:row>
      <xdr:rowOff>146759</xdr:rowOff>
    </xdr:from>
    <xdr:to>
      <xdr:col>10</xdr:col>
      <xdr:colOff>87712</xdr:colOff>
      <xdr:row>20</xdr:row>
      <xdr:rowOff>6672</xdr:rowOff>
    </xdr:to>
    <xdr:sp macro="" textlink="shipmode">
      <xdr:nvSpPr>
        <xdr:cNvPr id="33" name="TextBox 32">
          <a:extLst>
            <a:ext uri="{FF2B5EF4-FFF2-40B4-BE49-F238E27FC236}">
              <a16:creationId xmlns:a16="http://schemas.microsoft.com/office/drawing/2014/main" id="{C98F32AE-8682-43DB-8F9F-88C24CDF9591}"/>
            </a:ext>
          </a:extLst>
        </xdr:cNvPr>
        <xdr:cNvSpPr txBox="1"/>
      </xdr:nvSpPr>
      <xdr:spPr>
        <a:xfrm>
          <a:off x="3655966" y="3604574"/>
          <a:ext cx="2514939" cy="244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CB3450-D26C-41C6-80F1-72C4543FFF36}" type="TxLink">
            <a:rPr lang="en-US" sz="1100" b="0" i="0" u="none" strike="noStrike">
              <a:solidFill>
                <a:srgbClr val="000000"/>
              </a:solidFill>
              <a:latin typeface="Calibri"/>
              <a:cs typeface="Calibri"/>
            </a:rPr>
            <a:t>most order used Standard Class(52%)</a:t>
          </a:fld>
          <a:endParaRPr lang="en-IN" sz="1600">
            <a:solidFill>
              <a:schemeClr val="bg1">
                <a:lumMod val="50000"/>
              </a:schemeClr>
            </a:solidFill>
            <a:latin typeface="+mn-lt"/>
            <a:ea typeface="+mn-ea"/>
            <a:cs typeface="+mn-cs"/>
          </a:endParaRPr>
        </a:p>
      </xdr:txBody>
    </xdr:sp>
    <xdr:clientData/>
  </xdr:twoCellAnchor>
  <xdr:twoCellAnchor>
    <xdr:from>
      <xdr:col>21</xdr:col>
      <xdr:colOff>317073</xdr:colOff>
      <xdr:row>12</xdr:row>
      <xdr:rowOff>35631</xdr:rowOff>
    </xdr:from>
    <xdr:to>
      <xdr:col>27</xdr:col>
      <xdr:colOff>423334</xdr:colOff>
      <xdr:row>22</xdr:row>
      <xdr:rowOff>119063</xdr:rowOff>
    </xdr:to>
    <xdr:graphicFrame macro="">
      <xdr:nvGraphicFramePr>
        <xdr:cNvPr id="34" name="Chart 33">
          <a:extLst>
            <a:ext uri="{FF2B5EF4-FFF2-40B4-BE49-F238E27FC236}">
              <a16:creationId xmlns:a16="http://schemas.microsoft.com/office/drawing/2014/main" id="{9AB6CDC7-97DB-4FD2-BBCA-81C9471FA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264582</xdr:colOff>
      <xdr:row>25</xdr:row>
      <xdr:rowOff>39687</xdr:rowOff>
    </xdr:from>
    <xdr:to>
      <xdr:col>27</xdr:col>
      <xdr:colOff>423333</xdr:colOff>
      <xdr:row>35</xdr:row>
      <xdr:rowOff>145521</xdr:rowOff>
    </xdr:to>
    <xdr:graphicFrame macro="">
      <xdr:nvGraphicFramePr>
        <xdr:cNvPr id="35" name="Chart 34">
          <a:extLst>
            <a:ext uri="{FF2B5EF4-FFF2-40B4-BE49-F238E27FC236}">
              <a16:creationId xmlns:a16="http://schemas.microsoft.com/office/drawing/2014/main" id="{0516C14C-8A67-4008-91E0-7283B8697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309819</xdr:colOff>
      <xdr:row>23</xdr:row>
      <xdr:rowOff>139546</xdr:rowOff>
    </xdr:from>
    <xdr:to>
      <xdr:col>26</xdr:col>
      <xdr:colOff>582085</xdr:colOff>
      <xdr:row>25</xdr:row>
      <xdr:rowOff>171979</xdr:rowOff>
    </xdr:to>
    <xdr:sp macro="" textlink="citysel">
      <xdr:nvSpPr>
        <xdr:cNvPr id="36" name="TextBox 35">
          <a:extLst>
            <a:ext uri="{FF2B5EF4-FFF2-40B4-BE49-F238E27FC236}">
              <a16:creationId xmlns:a16="http://schemas.microsoft.com/office/drawing/2014/main" id="{DDACE905-60B9-453B-A687-1ED0757B8810}"/>
            </a:ext>
          </a:extLst>
        </xdr:cNvPr>
        <xdr:cNvSpPr txBox="1"/>
      </xdr:nvSpPr>
      <xdr:spPr>
        <a:xfrm>
          <a:off x="13089194" y="4399338"/>
          <a:ext cx="3314974" cy="402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3F8E13-7A85-4912-AD01-5B4AD2FC98A8}" type="TxLink">
            <a:rPr lang="en-US" sz="1100" b="0" i="0" u="none" strike="noStrike">
              <a:solidFill>
                <a:srgbClr val="000000"/>
              </a:solidFill>
              <a:latin typeface="Calibri"/>
              <a:cs typeface="Calibri"/>
            </a:rPr>
            <a:t>Top Selling City : Seattle(12,444)</a:t>
          </a:fld>
          <a:endParaRPr lang="en-IN" sz="1600">
            <a:solidFill>
              <a:schemeClr val="bg1">
                <a:lumMod val="50000"/>
              </a:schemeClr>
            </a:solidFill>
            <a:latin typeface="+mn-lt"/>
            <a:ea typeface="+mn-ea"/>
            <a:cs typeface="+mn-cs"/>
          </a:endParaRPr>
        </a:p>
      </xdr:txBody>
    </xdr:sp>
    <xdr:clientData/>
  </xdr:twoCellAnchor>
  <xdr:twoCellAnchor>
    <xdr:from>
      <xdr:col>6</xdr:col>
      <xdr:colOff>52918</xdr:colOff>
      <xdr:row>20</xdr:row>
      <xdr:rowOff>89495</xdr:rowOff>
    </xdr:from>
    <xdr:to>
      <xdr:col>10</xdr:col>
      <xdr:colOff>489481</xdr:colOff>
      <xdr:row>28</xdr:row>
      <xdr:rowOff>102723</xdr:rowOff>
    </xdr:to>
    <xdr:graphicFrame macro="">
      <xdr:nvGraphicFramePr>
        <xdr:cNvPr id="37" name="Chart 36">
          <a:extLst>
            <a:ext uri="{FF2B5EF4-FFF2-40B4-BE49-F238E27FC236}">
              <a16:creationId xmlns:a16="http://schemas.microsoft.com/office/drawing/2014/main" id="{FD39E8D8-399D-4F9D-B828-4BD0F5543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132291</xdr:colOff>
      <xdr:row>21</xdr:row>
      <xdr:rowOff>102726</xdr:rowOff>
    </xdr:from>
    <xdr:to>
      <xdr:col>8</xdr:col>
      <xdr:colOff>582084</xdr:colOff>
      <xdr:row>27</xdr:row>
      <xdr:rowOff>36581</xdr:rowOff>
    </xdr:to>
    <xdr:sp macro="" textlink="">
      <xdr:nvSpPr>
        <xdr:cNvPr id="38" name="Oval 37">
          <a:extLst>
            <a:ext uri="{FF2B5EF4-FFF2-40B4-BE49-F238E27FC236}">
              <a16:creationId xmlns:a16="http://schemas.microsoft.com/office/drawing/2014/main" id="{C72F0435-3FD8-2C7E-65CA-15C37719E5D1}"/>
            </a:ext>
          </a:extLst>
        </xdr:cNvPr>
        <xdr:cNvSpPr/>
      </xdr:nvSpPr>
      <xdr:spPr>
        <a:xfrm>
          <a:off x="4390526" y="4136844"/>
          <a:ext cx="1058113" cy="1086460"/>
        </a:xfrm>
        <a:prstGeom prst="ellipse">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140926</xdr:colOff>
      <xdr:row>23</xdr:row>
      <xdr:rowOff>124234</xdr:rowOff>
    </xdr:from>
    <xdr:to>
      <xdr:col>9</xdr:col>
      <xdr:colOff>79375</xdr:colOff>
      <xdr:row>25</xdr:row>
      <xdr:rowOff>175763</xdr:rowOff>
    </xdr:to>
    <xdr:sp macro="" textlink="">
      <xdr:nvSpPr>
        <xdr:cNvPr id="41" name="TextBox 40">
          <a:extLst>
            <a:ext uri="{FF2B5EF4-FFF2-40B4-BE49-F238E27FC236}">
              <a16:creationId xmlns:a16="http://schemas.microsoft.com/office/drawing/2014/main" id="{CF109C41-3668-455A-8FBE-5D69E2257590}"/>
            </a:ext>
          </a:extLst>
        </xdr:cNvPr>
        <xdr:cNvSpPr txBox="1"/>
      </xdr:nvSpPr>
      <xdr:spPr>
        <a:xfrm>
          <a:off x="4399161" y="4542553"/>
          <a:ext cx="1155088" cy="435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385F7C"/>
              </a:solidFill>
            </a:rPr>
            <a:t> SHIPING</a:t>
          </a:r>
          <a:r>
            <a:rPr lang="en-IN" sz="1050" baseline="0">
              <a:solidFill>
                <a:srgbClr val="385F7C"/>
              </a:solidFill>
            </a:rPr>
            <a:t> MODE</a:t>
          </a:r>
          <a:endParaRPr lang="en-IN" sz="1050">
            <a:solidFill>
              <a:srgbClr val="385F7C"/>
            </a:solidFill>
          </a:endParaRPr>
        </a:p>
      </xdr:txBody>
    </xdr:sp>
    <xdr:clientData/>
  </xdr:twoCellAnchor>
  <xdr:twoCellAnchor>
    <xdr:from>
      <xdr:col>6</xdr:col>
      <xdr:colOff>56029</xdr:colOff>
      <xdr:row>30</xdr:row>
      <xdr:rowOff>66480</xdr:rowOff>
    </xdr:from>
    <xdr:to>
      <xdr:col>11</xdr:col>
      <xdr:colOff>568298</xdr:colOff>
      <xdr:row>36</xdr:row>
      <xdr:rowOff>112059</xdr:rowOff>
    </xdr:to>
    <xdr:graphicFrame macro="">
      <xdr:nvGraphicFramePr>
        <xdr:cNvPr id="42" name="Chart 41">
          <a:extLst>
            <a:ext uri="{FF2B5EF4-FFF2-40B4-BE49-F238E27FC236}">
              <a16:creationId xmlns:a16="http://schemas.microsoft.com/office/drawing/2014/main" id="{8C31F1BD-3AB9-4D6C-8E91-5E4C40709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70403</xdr:colOff>
      <xdr:row>28</xdr:row>
      <xdr:rowOff>163087</xdr:rowOff>
    </xdr:from>
    <xdr:to>
      <xdr:col>11</xdr:col>
      <xdr:colOff>464243</xdr:colOff>
      <xdr:row>30</xdr:row>
      <xdr:rowOff>40021</xdr:rowOff>
    </xdr:to>
    <xdr:sp macro="" textlink="subcategory">
      <xdr:nvSpPr>
        <xdr:cNvPr id="43" name="TextBox 42">
          <a:extLst>
            <a:ext uri="{FF2B5EF4-FFF2-40B4-BE49-F238E27FC236}">
              <a16:creationId xmlns:a16="http://schemas.microsoft.com/office/drawing/2014/main" id="{512C5CF1-9D8B-4F1C-A545-EC38E0057079}"/>
            </a:ext>
          </a:extLst>
        </xdr:cNvPr>
        <xdr:cNvSpPr txBox="1"/>
      </xdr:nvSpPr>
      <xdr:spPr>
        <a:xfrm>
          <a:off x="3720319" y="5541911"/>
          <a:ext cx="3435437" cy="26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735674-7224-4C1B-A27C-6A2B4BBD65CC}" type="TxLink">
            <a:rPr lang="en-US" sz="1100" b="0" i="0" u="none" strike="noStrike">
              <a:solidFill>
                <a:srgbClr val="000000"/>
              </a:solidFill>
              <a:latin typeface="Calibri"/>
              <a:cs typeface="Calibri"/>
            </a:rPr>
            <a:t>Highest sales by Sub-categroy from :Chairs($22,022)</a:t>
          </a:fld>
          <a:endParaRPr lang="en-IN" sz="1600">
            <a:solidFill>
              <a:schemeClr val="bg1">
                <a:lumMod val="50000"/>
              </a:schemeClr>
            </a:solidFill>
            <a:latin typeface="+mn-lt"/>
            <a:ea typeface="+mn-ea"/>
            <a:cs typeface="+mn-cs"/>
          </a:endParaRPr>
        </a:p>
      </xdr:txBody>
    </xdr:sp>
    <xdr:clientData/>
  </xdr:twoCellAnchor>
  <xdr:twoCellAnchor editAs="oneCell">
    <xdr:from>
      <xdr:col>18</xdr:col>
      <xdr:colOff>227202</xdr:colOff>
      <xdr:row>6</xdr:row>
      <xdr:rowOff>162291</xdr:rowOff>
    </xdr:from>
    <xdr:to>
      <xdr:col>22</xdr:col>
      <xdr:colOff>332320</xdr:colOff>
      <xdr:row>9</xdr:row>
      <xdr:rowOff>24888</xdr:rowOff>
    </xdr:to>
    <mc:AlternateContent xmlns:mc="http://schemas.openxmlformats.org/markup-compatibility/2006">
      <mc:Choice xmlns:a14="http://schemas.microsoft.com/office/drawing/2010/main" Requires="a14">
        <xdr:graphicFrame macro="">
          <xdr:nvGraphicFramePr>
            <xdr:cNvPr id="45" name="Region 1">
              <a:extLst>
                <a:ext uri="{FF2B5EF4-FFF2-40B4-BE49-F238E27FC236}">
                  <a16:creationId xmlns:a16="http://schemas.microsoft.com/office/drawing/2014/main" id="{A3700DA1-7B4E-440C-BA1A-2B0E4C3CEF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05510" y="1305291"/>
              <a:ext cx="2566964" cy="434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409695</xdr:colOff>
      <xdr:row>6</xdr:row>
      <xdr:rowOff>153789</xdr:rowOff>
    </xdr:from>
    <xdr:to>
      <xdr:col>27</xdr:col>
      <xdr:colOff>270600</xdr:colOff>
      <xdr:row>9</xdr:row>
      <xdr:rowOff>10633</xdr:rowOff>
    </xdr:to>
    <mc:AlternateContent xmlns:mc="http://schemas.openxmlformats.org/markup-compatibility/2006">
      <mc:Choice xmlns:a14="http://schemas.microsoft.com/office/drawing/2010/main" Requires="a14">
        <xdr:graphicFrame macro="">
          <xdr:nvGraphicFramePr>
            <xdr:cNvPr id="46" name="Segment 1">
              <a:extLst>
                <a:ext uri="{FF2B5EF4-FFF2-40B4-BE49-F238E27FC236}">
                  <a16:creationId xmlns:a16="http://schemas.microsoft.com/office/drawing/2014/main" id="{543B87A8-8A16-4D38-A3C5-B82F77DC160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949849" y="1296789"/>
              <a:ext cx="2938213" cy="428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5.925217129632" createdVersion="8" refreshedVersion="8" minRefreshableVersion="3" recordCount="2121" xr:uid="{4C506D67-5FF2-42F5-B0AE-3F498FD38BEB}">
  <cacheSource type="worksheet">
    <worksheetSource name="Furniture_Data"/>
  </cacheSource>
  <cacheFields count="23">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m" numFmtId="0">
      <sharedItems count="8">
        <s v="3-Days"/>
        <s v="7-Days"/>
        <s v="5-Days"/>
        <s v="2-Days"/>
        <s v="4-Days"/>
        <s v="1-Days"/>
        <s v="6-Days"/>
        <s v="0-Days"/>
      </sharedItems>
    </cacheField>
    <cacheField name="Month Name"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06-01-2014"/>
          <s v="Jan"/>
          <s v="Feb"/>
          <s v="Mar"/>
          <s v="Apr"/>
          <s v="May"/>
          <s v="Jun"/>
          <s v="Jul"/>
          <s v="Aug"/>
          <s v="Sep"/>
          <s v="Oct"/>
          <s v="Nov"/>
          <s v="Dec"/>
          <s v="&gt;31-12-2017"/>
        </groupItems>
      </fieldGroup>
    </cacheField>
    <cacheField name="Quarters (Order Date)" numFmtId="0" databaseField="0">
      <fieldGroup base="1">
        <rangePr groupBy="quarters" startDate="2014-01-06T00:00:00" endDate="2017-12-31T00:00:00"/>
        <groupItems count="6">
          <s v="&lt;06-01-2014"/>
          <s v="Qtr1"/>
          <s v="Qtr2"/>
          <s v="Qtr3"/>
          <s v="Qtr4"/>
          <s v="&gt;31-12-2017"/>
        </groupItems>
      </fieldGroup>
    </cacheField>
    <cacheField name="Years (Order Date)"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262160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x v="0"/>
    <x v="0"/>
    <d v="2016-11-11T00:00:00"/>
    <x v="0"/>
    <s v="CG-12520"/>
    <s v="Claire Gute"/>
    <x v="0"/>
    <s v="United States"/>
    <x v="0"/>
    <x v="0"/>
    <x v="0"/>
    <s v="FUR-BO-10001798"/>
    <s v="Furniture"/>
    <x v="0"/>
    <s v="Bush Somerset Collection Bookcase"/>
    <n v="261.95999999999998"/>
    <n v="2"/>
    <n v="41.913600000000002"/>
    <x v="0"/>
    <x v="0"/>
  </r>
  <r>
    <x v="0"/>
    <x v="0"/>
    <d v="2016-11-11T00:00:00"/>
    <x v="0"/>
    <s v="CG-12520"/>
    <s v="Claire Gute"/>
    <x v="0"/>
    <s v="United States"/>
    <x v="0"/>
    <x v="0"/>
    <x v="0"/>
    <s v="FUR-CH-10000454"/>
    <s v="Furniture"/>
    <x v="1"/>
    <s v="Hon Deluxe Fabric Upholstered Stacking Chairs, Rounded Back"/>
    <n v="731.94"/>
    <n v="3"/>
    <n v="219.58199999999999"/>
    <x v="0"/>
    <x v="0"/>
  </r>
  <r>
    <x v="1"/>
    <x v="1"/>
    <d v="2015-10-18T00:00:00"/>
    <x v="1"/>
    <s v="SO-20335"/>
    <s v="Sean O'Donnell"/>
    <x v="0"/>
    <s v="United States"/>
    <x v="1"/>
    <x v="1"/>
    <x v="0"/>
    <s v="FUR-TA-10000577"/>
    <s v="Furniture"/>
    <x v="2"/>
    <s v="Bretford CR4500 Series Slim Rectangular Table"/>
    <n v="957.57749999999999"/>
    <n v="5"/>
    <n v="-383.03100000000001"/>
    <x v="1"/>
    <x v="1"/>
  </r>
  <r>
    <x v="2"/>
    <x v="2"/>
    <d v="2014-06-14T00:00:00"/>
    <x v="1"/>
    <s v="BH-11710"/>
    <s v="Brosina Hoffman"/>
    <x v="0"/>
    <s v="United States"/>
    <x v="2"/>
    <x v="2"/>
    <x v="1"/>
    <s v="FUR-FU-10001487"/>
    <s v="Furniture"/>
    <x v="3"/>
    <s v="Eldon Expressions Wood and Plastic Desk Accessories, Cherry Wood"/>
    <n v="48.86"/>
    <n v="7"/>
    <n v="14.1694"/>
    <x v="2"/>
    <x v="2"/>
  </r>
  <r>
    <x v="2"/>
    <x v="2"/>
    <d v="2014-06-14T00:00:00"/>
    <x v="1"/>
    <s v="BH-11710"/>
    <s v="Brosina Hoffman"/>
    <x v="0"/>
    <s v="United States"/>
    <x v="2"/>
    <x v="2"/>
    <x v="1"/>
    <s v="FUR-TA-10001539"/>
    <s v="Furniture"/>
    <x v="2"/>
    <s v="Chromcraft Rectangular Conference Tables"/>
    <n v="1706.184"/>
    <n v="9"/>
    <n v="85.309200000000004"/>
    <x v="2"/>
    <x v="2"/>
  </r>
  <r>
    <x v="3"/>
    <x v="3"/>
    <d v="2017-07-18T00:00:00"/>
    <x v="0"/>
    <s v="SF-20065"/>
    <s v="Sandra Flanagan"/>
    <x v="0"/>
    <s v="United States"/>
    <x v="3"/>
    <x v="3"/>
    <x v="2"/>
    <s v="FUR-CH-10002774"/>
    <s v="Furniture"/>
    <x v="1"/>
    <s v="Global Deluxe Stacking Chair, Gray"/>
    <n v="71.372"/>
    <n v="2"/>
    <n v="-1.0196000000000001"/>
    <x v="3"/>
    <x v="3"/>
  </r>
  <r>
    <x v="4"/>
    <x v="4"/>
    <d v="2015-09-30T00:00:00"/>
    <x v="1"/>
    <s v="EB-13870"/>
    <s v="Emily Burns"/>
    <x v="0"/>
    <s v="United States"/>
    <x v="4"/>
    <x v="4"/>
    <x v="1"/>
    <s v="FUR-TA-10000577"/>
    <s v="Furniture"/>
    <x v="2"/>
    <s v="Bretford CR4500 Series Slim Rectangular Table"/>
    <n v="1044.6300000000001"/>
    <n v="3"/>
    <n v="240.26490000000001"/>
    <x v="2"/>
    <x v="4"/>
  </r>
  <r>
    <x v="5"/>
    <x v="5"/>
    <d v="2015-09-21T00:00:00"/>
    <x v="1"/>
    <s v="TB-21520"/>
    <s v="Tracy Blumstein"/>
    <x v="0"/>
    <s v="United States"/>
    <x v="3"/>
    <x v="3"/>
    <x v="2"/>
    <s v="FUR-BO-10004834"/>
    <s v="Furniture"/>
    <x v="0"/>
    <s v="Riverside Palais Royal Lawyers Bookcase, Royale Cherry Finish"/>
    <n v="3083.43"/>
    <n v="7"/>
    <n v="-1665.0522000000001"/>
    <x v="4"/>
    <x v="4"/>
  </r>
  <r>
    <x v="5"/>
    <x v="5"/>
    <d v="2015-09-21T00:00:00"/>
    <x v="1"/>
    <s v="TB-21520"/>
    <s v="Tracy Blumstein"/>
    <x v="0"/>
    <s v="United States"/>
    <x v="3"/>
    <x v="3"/>
    <x v="2"/>
    <s v="FUR-FU-10004848"/>
    <s v="Furniture"/>
    <x v="3"/>
    <s v="Howard Miller 13-3/4&quot; Diameter Brushed Chrome Round Wall Clock"/>
    <n v="124.2"/>
    <n v="3"/>
    <n v="15.525"/>
    <x v="4"/>
    <x v="4"/>
  </r>
  <r>
    <x v="6"/>
    <x v="6"/>
    <d v="2016-12-10T00:00:00"/>
    <x v="2"/>
    <s v="GH-14485"/>
    <s v="Gene Hale"/>
    <x v="1"/>
    <s v="United States"/>
    <x v="5"/>
    <x v="5"/>
    <x v="3"/>
    <s v="FUR-FU-10003664"/>
    <s v="Furniture"/>
    <x v="3"/>
    <s v="Electrix Architect's Clamp-On Swing Arm Lamp, Black"/>
    <n v="190.92"/>
    <n v="5"/>
    <n v="-147.96299999999999"/>
    <x v="3"/>
    <x v="5"/>
  </r>
  <r>
    <x v="7"/>
    <x v="7"/>
    <d v="2015-12-31T00:00:00"/>
    <x v="1"/>
    <s v="SN-20710"/>
    <s v="Steve Nguyen"/>
    <x v="2"/>
    <s v="United States"/>
    <x v="6"/>
    <x v="5"/>
    <x v="3"/>
    <s v="FUR-BO-10002545"/>
    <s v="Furniture"/>
    <x v="0"/>
    <s v="Atlantic Metals Mobile 3-Shelf Bookcases, Custom Colors"/>
    <n v="532.39919999999995"/>
    <n v="3"/>
    <n v="-46.976399999999998"/>
    <x v="4"/>
    <x v="5"/>
  </r>
  <r>
    <x v="7"/>
    <x v="7"/>
    <d v="2015-12-31T00:00:00"/>
    <x v="1"/>
    <s v="SN-20710"/>
    <s v="Steve Nguyen"/>
    <x v="2"/>
    <s v="United States"/>
    <x v="6"/>
    <x v="5"/>
    <x v="3"/>
    <s v="FUR-CH-10004218"/>
    <s v="Furniture"/>
    <x v="1"/>
    <s v="Global Fabric Manager's Chair, Dark Gray"/>
    <n v="212.05799999999999"/>
    <n v="3"/>
    <n v="-15.147"/>
    <x v="4"/>
    <x v="5"/>
  </r>
  <r>
    <x v="8"/>
    <x v="8"/>
    <d v="2015-04-22T00:00:00"/>
    <x v="1"/>
    <s v="DP-13000"/>
    <s v="Darren Powers"/>
    <x v="0"/>
    <s v="United States"/>
    <x v="7"/>
    <x v="6"/>
    <x v="3"/>
    <s v="FUR-FU-10001706"/>
    <s v="Furniture"/>
    <x v="3"/>
    <s v="Longer-Life Soft White Bulbs"/>
    <n v="6.16"/>
    <n v="2"/>
    <n v="2.9567999999999999"/>
    <x v="4"/>
    <x v="6"/>
  </r>
  <r>
    <x v="8"/>
    <x v="8"/>
    <d v="2015-04-22T00:00:00"/>
    <x v="1"/>
    <s v="DP-13000"/>
    <s v="Darren Powers"/>
    <x v="0"/>
    <s v="United States"/>
    <x v="7"/>
    <x v="6"/>
    <x v="3"/>
    <s v="FUR-CH-10003061"/>
    <s v="Furniture"/>
    <x v="1"/>
    <s v="Global Leather Task Chair, Black"/>
    <n v="89.99"/>
    <n v="1"/>
    <n v="17.098099999999999"/>
    <x v="4"/>
    <x v="6"/>
  </r>
  <r>
    <x v="9"/>
    <x v="9"/>
    <d v="2016-06-18T00:00:00"/>
    <x v="2"/>
    <s v="TB-21055"/>
    <s v="Ted Butterfield"/>
    <x v="0"/>
    <s v="United States"/>
    <x v="8"/>
    <x v="7"/>
    <x v="2"/>
    <s v="FUR-CH-10003968"/>
    <s v="Furniture"/>
    <x v="1"/>
    <s v="Novimex Turbo Task Chair"/>
    <n v="319.41000000000003"/>
    <n v="5"/>
    <n v="7.0979999999999999"/>
    <x v="5"/>
    <x v="2"/>
  </r>
  <r>
    <x v="10"/>
    <x v="10"/>
    <d v="2015-11-30T00:00:00"/>
    <x v="1"/>
    <s v="KM-16720"/>
    <s v="Kunst Miller"/>
    <x v="0"/>
    <s v="United States"/>
    <x v="2"/>
    <x v="2"/>
    <x v="1"/>
    <s v="FUR-FU-10000397"/>
    <s v="Furniture"/>
    <x v="3"/>
    <s v="Luxo Economy Swing Arm Lamp"/>
    <n v="79.760000000000005"/>
    <n v="4"/>
    <n v="22.332799999999999"/>
    <x v="6"/>
    <x v="0"/>
  </r>
  <r>
    <x v="11"/>
    <x v="11"/>
    <d v="2015-05-05T00:00:00"/>
    <x v="1"/>
    <s v="PS-18970"/>
    <s v="Paul Stevenson"/>
    <x v="2"/>
    <s v="United States"/>
    <x v="9"/>
    <x v="8"/>
    <x v="3"/>
    <s v="FUR-CH-10001146"/>
    <s v="Furniture"/>
    <x v="1"/>
    <s v="Global Value Mid-Back Manager's Chair, Gray"/>
    <n v="213.11500000000001"/>
    <n v="5"/>
    <n v="-15.2225"/>
    <x v="2"/>
    <x v="6"/>
  </r>
  <r>
    <x v="12"/>
    <x v="12"/>
    <d v="2015-05-02T00:00:00"/>
    <x v="1"/>
    <s v="JE-15745"/>
    <s v="Joel Eaton"/>
    <x v="0"/>
    <s v="United States"/>
    <x v="10"/>
    <x v="9"/>
    <x v="0"/>
    <s v="FUR-CH-10000513"/>
    <s v="Furniture"/>
    <x v="1"/>
    <s v="High-Back Leather Manager's Chair"/>
    <n v="831.93600000000004"/>
    <n v="8"/>
    <n v="-114.3912"/>
    <x v="6"/>
    <x v="6"/>
  </r>
  <r>
    <x v="12"/>
    <x v="12"/>
    <d v="2015-05-02T00:00:00"/>
    <x v="1"/>
    <s v="JE-15745"/>
    <s v="Joel Eaton"/>
    <x v="0"/>
    <s v="United States"/>
    <x v="10"/>
    <x v="9"/>
    <x v="0"/>
    <s v="FUR-FU-10003708"/>
    <s v="Furniture"/>
    <x v="3"/>
    <s v="Tenex Traditional Chairmats for Medium Pile Carpet, Standard Lip, 36&quot; x 48&quot;"/>
    <n v="97.04"/>
    <n v="2"/>
    <n v="1.2130000000000001"/>
    <x v="6"/>
    <x v="6"/>
  </r>
  <r>
    <x v="13"/>
    <x v="13"/>
    <d v="2017-12-11T00:00:00"/>
    <x v="2"/>
    <s v="KB-16600"/>
    <s v="Ken Brennan"/>
    <x v="1"/>
    <s v="United States"/>
    <x v="6"/>
    <x v="5"/>
    <x v="3"/>
    <s v="FUR-FU-10000260"/>
    <s v="Furniture"/>
    <x v="3"/>
    <s v="6&quot; Cubicle Wall Clock, Black"/>
    <n v="9.7080000000000002"/>
    <n v="3"/>
    <n v="-5.8247999999999998"/>
    <x v="3"/>
    <x v="5"/>
  </r>
  <r>
    <x v="14"/>
    <x v="14"/>
    <d v="2014-12-01T00:00:00"/>
    <x v="0"/>
    <s v="JE-15745"/>
    <s v="Joel Eaton"/>
    <x v="0"/>
    <s v="United States"/>
    <x v="6"/>
    <x v="5"/>
    <x v="3"/>
    <s v="FUR-FU-10003194"/>
    <s v="Furniture"/>
    <x v="3"/>
    <s v="Eldon Expressions Desk Accessory, Wood Pencil Holder, Oak"/>
    <n v="19.3"/>
    <n v="5"/>
    <n v="-14.475"/>
    <x v="2"/>
    <x v="0"/>
  </r>
  <r>
    <x v="15"/>
    <x v="15"/>
    <d v="2017-05-30T00:00:00"/>
    <x v="0"/>
    <s v="PO-18865"/>
    <s v="Patrick O'Donnell"/>
    <x v="0"/>
    <s v="United States"/>
    <x v="11"/>
    <x v="10"/>
    <x v="0"/>
    <s v="FUR-CH-10000863"/>
    <s v="Furniture"/>
    <x v="1"/>
    <s v="Novimex Swivel Fabric Task Chair"/>
    <n v="301.95999999999998"/>
    <n v="2"/>
    <n v="33.215600000000002"/>
    <x v="3"/>
    <x v="7"/>
  </r>
  <r>
    <x v="16"/>
    <x v="16"/>
    <d v="2015-02-05T00:00:00"/>
    <x v="0"/>
    <s v="KB-16315"/>
    <s v="Karl Braun"/>
    <x v="0"/>
    <s v="United States"/>
    <x v="12"/>
    <x v="11"/>
    <x v="3"/>
    <s v="FUR-FU-10003799"/>
    <s v="Furniture"/>
    <x v="3"/>
    <s v="Seth Thomas 13 1/2&quot; Wall Clock"/>
    <n v="53.34"/>
    <n v="3"/>
    <n v="16.535399999999999"/>
    <x v="2"/>
    <x v="8"/>
  </r>
  <r>
    <x v="17"/>
    <x v="17"/>
    <d v="2017-11-11T00:00:00"/>
    <x v="0"/>
    <s v="PN-18775"/>
    <s v="Parhena Norris"/>
    <x v="2"/>
    <s v="United States"/>
    <x v="13"/>
    <x v="7"/>
    <x v="2"/>
    <s v="FUR-FU-10000629"/>
    <s v="Furniture"/>
    <x v="3"/>
    <s v="9-3/4 Diameter Round Wall Clock"/>
    <n v="96.53"/>
    <n v="7"/>
    <n v="40.5426"/>
    <x v="3"/>
    <x v="0"/>
  </r>
  <r>
    <x v="18"/>
    <x v="18"/>
    <d v="2015-11-17T00:00:00"/>
    <x v="1"/>
    <s v="LC-16870"/>
    <s v="Lena Cacioppo"/>
    <x v="0"/>
    <s v="United States"/>
    <x v="14"/>
    <x v="12"/>
    <x v="1"/>
    <s v="FUR-FU-10004006"/>
    <s v="Furniture"/>
    <x v="3"/>
    <s v="Deflect-o DuraMat Lighweight, Studded, Beveled Mat for Low Pile Carpeting"/>
    <n v="102.36"/>
    <n v="3"/>
    <n v="-3.8384999999999998"/>
    <x v="4"/>
    <x v="0"/>
  </r>
  <r>
    <x v="19"/>
    <x v="19"/>
    <d v="2017-12-30T00:00:00"/>
    <x v="1"/>
    <s v="CV-12805"/>
    <s v="Cynthia Voltz"/>
    <x v="1"/>
    <s v="United States"/>
    <x v="13"/>
    <x v="7"/>
    <x v="2"/>
    <s v="FUR-FU-10001934"/>
    <s v="Furniture"/>
    <x v="3"/>
    <s v="Magnifier Swing Arm Lamp"/>
    <n v="41.96"/>
    <n v="2"/>
    <n v="10.909599999999999"/>
    <x v="2"/>
    <x v="5"/>
  </r>
  <r>
    <x v="20"/>
    <x v="20"/>
    <d v="2015-03-06T00:00:00"/>
    <x v="1"/>
    <s v="DK-13090"/>
    <s v="Dave Kipp"/>
    <x v="0"/>
    <s v="United States"/>
    <x v="15"/>
    <x v="13"/>
    <x v="1"/>
    <s v="FUR-TA-10001768"/>
    <s v="Furniture"/>
    <x v="2"/>
    <s v="Hon Racetrack Conference Tables"/>
    <n v="787.53"/>
    <n v="3"/>
    <n v="165.38130000000001"/>
    <x v="4"/>
    <x v="9"/>
  </r>
  <r>
    <x v="21"/>
    <x v="21"/>
    <d v="2016-06-15T00:00:00"/>
    <x v="2"/>
    <s v="SC-20725"/>
    <s v="Steven Cartwright"/>
    <x v="0"/>
    <s v="United States"/>
    <x v="16"/>
    <x v="14"/>
    <x v="2"/>
    <s v="FUR-FU-10002157"/>
    <s v="Furniture"/>
    <x v="3"/>
    <s v="Artistic Insta-Plaque"/>
    <n v="47.04"/>
    <n v="3"/>
    <n v="18.345600000000001"/>
    <x v="0"/>
    <x v="2"/>
  </r>
  <r>
    <x v="22"/>
    <x v="22"/>
    <d v="2014-12-28T00:00:00"/>
    <x v="0"/>
    <s v="AD-10180"/>
    <s v="Alan Dominguez"/>
    <x v="2"/>
    <s v="United States"/>
    <x v="6"/>
    <x v="5"/>
    <x v="3"/>
    <s v="FUR-CH-10004063"/>
    <s v="Furniture"/>
    <x v="1"/>
    <s v="Global Deluxe High-Back Manager's Chair"/>
    <n v="600.55799999999999"/>
    <n v="3"/>
    <n v="-8.5793999999999997"/>
    <x v="3"/>
    <x v="5"/>
  </r>
  <r>
    <x v="23"/>
    <x v="23"/>
    <d v="2014-09-25T00:00:00"/>
    <x v="1"/>
    <s v="PF-19165"/>
    <s v="Philip Fox"/>
    <x v="0"/>
    <s v="United States"/>
    <x v="17"/>
    <x v="8"/>
    <x v="3"/>
    <s v="FUR-TA-10004534"/>
    <s v="Furniture"/>
    <x v="2"/>
    <s v="Bevis 44 x 96 Conference Tables"/>
    <n v="617.70000000000005"/>
    <n v="6"/>
    <n v="-407.68200000000002"/>
    <x v="2"/>
    <x v="4"/>
  </r>
  <r>
    <x v="24"/>
    <x v="24"/>
    <d v="2016-11-10T00:00:00"/>
    <x v="0"/>
    <s v="LS-16975"/>
    <s v="Lindsay Shagiari"/>
    <x v="2"/>
    <s v="United States"/>
    <x v="2"/>
    <x v="2"/>
    <x v="1"/>
    <s v="FUR-CH-10001146"/>
    <s v="Furniture"/>
    <x v="1"/>
    <s v="Global Task Chair, Black"/>
    <n v="81.424000000000007"/>
    <n v="2"/>
    <n v="-9.1601999999999997"/>
    <x v="4"/>
    <x v="0"/>
  </r>
  <r>
    <x v="24"/>
    <x v="24"/>
    <d v="2016-11-10T00:00:00"/>
    <x v="0"/>
    <s v="LS-16975"/>
    <s v="Lindsay Shagiari"/>
    <x v="2"/>
    <s v="United States"/>
    <x v="2"/>
    <x v="2"/>
    <x v="1"/>
    <s v="FUR-FU-10003773"/>
    <s v="Furniture"/>
    <x v="3"/>
    <s v="Eldon Cleatmat Plus Chair Mats for High Pile Carpets"/>
    <n v="238.56"/>
    <n v="3"/>
    <n v="26.241599999999998"/>
    <x v="4"/>
    <x v="0"/>
  </r>
  <r>
    <x v="25"/>
    <x v="25"/>
    <d v="2016-10-19T00:00:00"/>
    <x v="1"/>
    <s v="LC-16885"/>
    <s v="Lena Creighton"/>
    <x v="0"/>
    <s v="United States"/>
    <x v="18"/>
    <x v="2"/>
    <x v="1"/>
    <s v="FUR-FU-10001706"/>
    <s v="Furniture"/>
    <x v="3"/>
    <s v="Longer-Life Soft White Bulbs"/>
    <n v="43.12"/>
    <n v="14"/>
    <n v="20.697600000000001"/>
    <x v="6"/>
    <x v="1"/>
  </r>
  <r>
    <x v="26"/>
    <x v="26"/>
    <d v="2016-09-07T00:00:00"/>
    <x v="0"/>
    <s v="JD-15895"/>
    <s v="Jonathan Doherty"/>
    <x v="1"/>
    <s v="United States"/>
    <x v="3"/>
    <x v="3"/>
    <x v="2"/>
    <s v="FUR-FU-10004848"/>
    <s v="Furniture"/>
    <x v="3"/>
    <s v="Howard Miller 13-3/4&quot; Diameter Brushed Chrome Round Wall Clock"/>
    <n v="82.8"/>
    <n v="2"/>
    <n v="10.35"/>
    <x v="3"/>
    <x v="4"/>
  </r>
  <r>
    <x v="27"/>
    <x v="27"/>
    <d v="2014-10-28T00:00:00"/>
    <x v="1"/>
    <s v="MG-17680"/>
    <s v="Maureen Gastineau"/>
    <x v="2"/>
    <s v="United States"/>
    <x v="19"/>
    <x v="15"/>
    <x v="2"/>
    <s v="FUR-FU-10000521"/>
    <s v="Furniture"/>
    <x v="3"/>
    <s v="Seth Thomas 14&quot; Putty-Colored Wall Clock"/>
    <n v="93.888000000000005"/>
    <n v="4"/>
    <n v="12.909599999999999"/>
    <x v="6"/>
    <x v="1"/>
  </r>
  <r>
    <x v="28"/>
    <x v="28"/>
    <d v="2016-12-09T00:00:00"/>
    <x v="1"/>
    <s v="JE-16165"/>
    <s v="Justin Ellison"/>
    <x v="1"/>
    <s v="United States"/>
    <x v="20"/>
    <x v="16"/>
    <x v="3"/>
    <s v="FUR-CH-10000454"/>
    <s v="Furniture"/>
    <x v="1"/>
    <s v="Hon Deluxe Fabric Upholstered Stacking Chairs, Rounded Back"/>
    <n v="1951.84"/>
    <n v="8"/>
    <n v="585.55200000000002"/>
    <x v="4"/>
    <x v="5"/>
  </r>
  <r>
    <x v="29"/>
    <x v="29"/>
    <d v="2014-03-06T00:00:00"/>
    <x v="0"/>
    <s v="DB-13060"/>
    <s v="Dave Brooks"/>
    <x v="0"/>
    <s v="United States"/>
    <x v="15"/>
    <x v="13"/>
    <x v="1"/>
    <s v="FUR-CH-10004063"/>
    <s v="Furniture"/>
    <x v="1"/>
    <s v="Global Deluxe High-Back Manager's Chair"/>
    <n v="457.56799999999998"/>
    <n v="2"/>
    <n v="51.476399999999998"/>
    <x v="2"/>
    <x v="9"/>
  </r>
  <r>
    <x v="30"/>
    <x v="30"/>
    <d v="2014-09-12T00:00:00"/>
    <x v="1"/>
    <s v="BM-11140"/>
    <s v="Becky Martin"/>
    <x v="0"/>
    <s v="United States"/>
    <x v="21"/>
    <x v="5"/>
    <x v="3"/>
    <s v="FUR-CH-10004287"/>
    <s v="Furniture"/>
    <x v="1"/>
    <s v="SAFCO Arco Folding Chair"/>
    <n v="1740.06"/>
    <n v="9"/>
    <n v="-24.858000000000001"/>
    <x v="4"/>
    <x v="4"/>
  </r>
  <r>
    <x v="31"/>
    <x v="31"/>
    <d v="2014-08-09T00:00:00"/>
    <x v="1"/>
    <s v="CS-12130"/>
    <s v="Chad Sievert"/>
    <x v="0"/>
    <s v="United States"/>
    <x v="2"/>
    <x v="2"/>
    <x v="1"/>
    <s v="FUR-CH-10003817"/>
    <s v="Furniture"/>
    <x v="1"/>
    <s v="Global Value Steno Chair, Gray"/>
    <n v="340.14400000000001"/>
    <n v="7"/>
    <n v="21.259"/>
    <x v="4"/>
    <x v="10"/>
  </r>
  <r>
    <x v="32"/>
    <x v="32"/>
    <d v="2015-11-23T00:00:00"/>
    <x v="0"/>
    <s v="JE-15745"/>
    <s v="Joel Eaton"/>
    <x v="0"/>
    <s v="United States"/>
    <x v="19"/>
    <x v="15"/>
    <x v="2"/>
    <s v="FUR-CH-10004698"/>
    <s v="Furniture"/>
    <x v="1"/>
    <s v="Padded Folding Chairs, Black, 4/Carton"/>
    <n v="396.80200000000002"/>
    <n v="7"/>
    <n v="-11.337199999999999"/>
    <x v="3"/>
    <x v="0"/>
  </r>
  <r>
    <x v="33"/>
    <x v="33"/>
    <d v="2015-10-14T00:00:00"/>
    <x v="2"/>
    <s v="MP-17470"/>
    <s v="Mark Packer"/>
    <x v="2"/>
    <s v="United States"/>
    <x v="13"/>
    <x v="7"/>
    <x v="2"/>
    <s v="FUR-BO-10002613"/>
    <s v="Furniture"/>
    <x v="0"/>
    <s v="Atlantic Metals Mobile 4-Shelf Bookcases, Custom Colors"/>
    <n v="899.13599999999997"/>
    <n v="4"/>
    <n v="112.392"/>
    <x v="3"/>
    <x v="1"/>
  </r>
  <r>
    <x v="33"/>
    <x v="33"/>
    <d v="2015-10-14T00:00:00"/>
    <x v="2"/>
    <s v="MP-17470"/>
    <s v="Mark Packer"/>
    <x v="2"/>
    <s v="United States"/>
    <x v="13"/>
    <x v="7"/>
    <x v="2"/>
    <s v="FUR-BO-10002545"/>
    <s v="Furniture"/>
    <x v="0"/>
    <s v="Atlantic Metals Mobile 3-Shelf Bookcases, Custom Colors"/>
    <n v="626.35199999999998"/>
    <n v="3"/>
    <n v="46.976399999999998"/>
    <x v="3"/>
    <x v="1"/>
  </r>
  <r>
    <x v="34"/>
    <x v="34"/>
    <d v="2014-08-05T00:00:00"/>
    <x v="2"/>
    <s v="BS-11755"/>
    <s v="Bruce Stewart"/>
    <x v="0"/>
    <s v="United States"/>
    <x v="22"/>
    <x v="12"/>
    <x v="1"/>
    <s v="FUR-TA-10004289"/>
    <s v="Furniture"/>
    <x v="2"/>
    <s v="BoxOffice By Design Rectangular and Half-Moon Meeting Room Tables"/>
    <n v="218.75"/>
    <n v="2"/>
    <n v="-161.875"/>
    <x v="3"/>
    <x v="10"/>
  </r>
  <r>
    <x v="35"/>
    <x v="35"/>
    <d v="2017-06-07T00:00:00"/>
    <x v="1"/>
    <s v="HK-14890"/>
    <s v="Heather Kirkland"/>
    <x v="1"/>
    <s v="United States"/>
    <x v="20"/>
    <x v="9"/>
    <x v="0"/>
    <s v="FUR-FU-10002960"/>
    <s v="Furniture"/>
    <x v="3"/>
    <s v="Eldon 200 Class Desk Accessories, Burgundy"/>
    <n v="35.167999999999999"/>
    <n v="7"/>
    <n v="9.6712000000000007"/>
    <x v="4"/>
    <x v="2"/>
  </r>
  <r>
    <x v="36"/>
    <x v="36"/>
    <d v="2015-01-09T00:00:00"/>
    <x v="1"/>
    <s v="VW-21775"/>
    <s v="Victoria Wilson"/>
    <x v="1"/>
    <s v="United States"/>
    <x v="23"/>
    <x v="15"/>
    <x v="2"/>
    <s v="FUR-BO-10004695"/>
    <s v="Furniture"/>
    <x v="0"/>
    <s v="O'Sullivan 2-Door Barrister Bookcase in Odessa Pine"/>
    <n v="452.45"/>
    <n v="5"/>
    <n v="-244.32300000000001"/>
    <x v="1"/>
    <x v="8"/>
  </r>
  <r>
    <x v="37"/>
    <x v="37"/>
    <d v="2015-12-27T00:00:00"/>
    <x v="2"/>
    <s v="JB-15925"/>
    <s v="Joni Blumstein"/>
    <x v="0"/>
    <s v="United States"/>
    <x v="24"/>
    <x v="15"/>
    <x v="2"/>
    <s v="FUR-FU-10000087"/>
    <s v="Furniture"/>
    <x v="3"/>
    <s v="Executive Impressions 14&quot; Two-Color Numerals Wall Clock"/>
    <n v="72.703999999999994"/>
    <n v="4"/>
    <n v="19.084800000000001"/>
    <x v="0"/>
    <x v="5"/>
  </r>
  <r>
    <x v="38"/>
    <x v="38"/>
    <d v="2015-08-16T00:00:00"/>
    <x v="1"/>
    <s v="DS-13180"/>
    <s v="David Smith"/>
    <x v="1"/>
    <s v="United States"/>
    <x v="25"/>
    <x v="17"/>
    <x v="3"/>
    <s v="FUR-TA-10003748"/>
    <s v="Furniture"/>
    <x v="2"/>
    <s v="Bevis 36 x 72 Conference Tables"/>
    <n v="622.45000000000005"/>
    <n v="5"/>
    <n v="136.93899999999999"/>
    <x v="1"/>
    <x v="10"/>
  </r>
  <r>
    <x v="39"/>
    <x v="39"/>
    <d v="2015-03-04T00:00:00"/>
    <x v="1"/>
    <s v="VD-21670"/>
    <s v="Valerie Dominguez"/>
    <x v="0"/>
    <s v="United States"/>
    <x v="11"/>
    <x v="9"/>
    <x v="0"/>
    <s v="FUR-CH-10004860"/>
    <s v="Furniture"/>
    <x v="1"/>
    <s v="Global Low Back Tilter Chair"/>
    <n v="161.56800000000001"/>
    <n v="2"/>
    <n v="-28.2744"/>
    <x v="4"/>
    <x v="11"/>
  </r>
  <r>
    <x v="39"/>
    <x v="39"/>
    <d v="2015-03-04T00:00:00"/>
    <x v="1"/>
    <s v="VD-21670"/>
    <s v="Valerie Dominguez"/>
    <x v="0"/>
    <s v="United States"/>
    <x v="11"/>
    <x v="9"/>
    <x v="0"/>
    <s v="FUR-CH-10004477"/>
    <s v="Furniture"/>
    <x v="1"/>
    <s v="Global Push Button Manager's Chair, Indigo"/>
    <n v="389.69600000000003"/>
    <n v="8"/>
    <n v="43.840800000000002"/>
    <x v="4"/>
    <x v="11"/>
  </r>
  <r>
    <x v="40"/>
    <x v="40"/>
    <d v="2017-04-12T00:00:00"/>
    <x v="1"/>
    <s v="CS-12400"/>
    <s v="Christopher Schild"/>
    <x v="2"/>
    <s v="United States"/>
    <x v="26"/>
    <x v="1"/>
    <x v="0"/>
    <s v="FUR-TA-10001705"/>
    <s v="Furniture"/>
    <x v="2"/>
    <s v="Bush Advantage Collection Round Conference Table"/>
    <n v="233.86"/>
    <n v="2"/>
    <n v="-102.048"/>
    <x v="2"/>
    <x v="6"/>
  </r>
  <r>
    <x v="40"/>
    <x v="40"/>
    <d v="2017-04-12T00:00:00"/>
    <x v="1"/>
    <s v="CS-12400"/>
    <s v="Christopher Schild"/>
    <x v="2"/>
    <s v="United States"/>
    <x v="26"/>
    <x v="1"/>
    <x v="0"/>
    <s v="FUR-TA-10003473"/>
    <s v="Furniture"/>
    <x v="2"/>
    <s v="Bretford Rectangular Conference Table Tops"/>
    <n v="620.61450000000002"/>
    <n v="3"/>
    <n v="-248.2458"/>
    <x v="2"/>
    <x v="6"/>
  </r>
  <r>
    <x v="40"/>
    <x v="40"/>
    <d v="2017-04-12T00:00:00"/>
    <x v="1"/>
    <s v="CS-12400"/>
    <s v="Christopher Schild"/>
    <x v="2"/>
    <s v="United States"/>
    <x v="26"/>
    <x v="1"/>
    <x v="0"/>
    <s v="FUR-FU-10004017"/>
    <s v="Furniture"/>
    <x v="3"/>
    <s v="Tenex Contemporary Contur Chairmats for Low and Medium Pile Carpet, Computer, 39&quot; x 49&quot;"/>
    <n v="258.072"/>
    <n v="3"/>
    <n v="0"/>
    <x v="2"/>
    <x v="6"/>
  </r>
  <r>
    <x v="41"/>
    <x v="41"/>
    <d v="2016-06-09T00:00:00"/>
    <x v="0"/>
    <s v="KL-16645"/>
    <s v="Ken Lonsdale"/>
    <x v="0"/>
    <s v="United States"/>
    <x v="9"/>
    <x v="8"/>
    <x v="3"/>
    <s v="FUR-FU-10000576"/>
    <s v="Furniture"/>
    <x v="3"/>
    <s v="Luxo Professional Fluorescent Magnifier Lamp with Clamp-Mount Base"/>
    <n v="419.68"/>
    <n v="5"/>
    <n v="-356.72800000000001"/>
    <x v="2"/>
    <x v="2"/>
  </r>
  <r>
    <x v="41"/>
    <x v="41"/>
    <d v="2016-06-09T00:00:00"/>
    <x v="0"/>
    <s v="KL-16645"/>
    <s v="Ken Lonsdale"/>
    <x v="0"/>
    <s v="United States"/>
    <x v="9"/>
    <x v="8"/>
    <x v="3"/>
    <s v="FUR-FU-10004351"/>
    <s v="Furniture"/>
    <x v="3"/>
    <s v="Staple-based wall hangings"/>
    <n v="11.688000000000001"/>
    <n v="3"/>
    <n v="-4.6752000000000002"/>
    <x v="2"/>
    <x v="2"/>
  </r>
  <r>
    <x v="41"/>
    <x v="41"/>
    <d v="2016-06-09T00:00:00"/>
    <x v="0"/>
    <s v="KL-16645"/>
    <s v="Ken Lonsdale"/>
    <x v="0"/>
    <s v="United States"/>
    <x v="9"/>
    <x v="8"/>
    <x v="3"/>
    <s v="FUR-TA-10002607"/>
    <s v="Furniture"/>
    <x v="2"/>
    <s v="KI Conference Tables"/>
    <n v="177.22499999999999"/>
    <n v="5"/>
    <n v="-120.51300000000001"/>
    <x v="2"/>
    <x v="2"/>
  </r>
  <r>
    <x v="41"/>
    <x v="41"/>
    <d v="2016-06-09T00:00:00"/>
    <x v="0"/>
    <s v="KL-16645"/>
    <s v="Ken Lonsdale"/>
    <x v="0"/>
    <s v="United States"/>
    <x v="9"/>
    <x v="8"/>
    <x v="3"/>
    <s v="FUR-FU-10002505"/>
    <s v="Furniture"/>
    <x v="3"/>
    <s v="Eldon 100 Class Desk Accessories"/>
    <n v="4.0439999999999996"/>
    <n v="3"/>
    <n v="-2.8308"/>
    <x v="2"/>
    <x v="2"/>
  </r>
  <r>
    <x v="42"/>
    <x v="42"/>
    <d v="2014-06-06T00:00:00"/>
    <x v="0"/>
    <s v="DW-13480"/>
    <s v="Dianna Wilson"/>
    <x v="2"/>
    <s v="United States"/>
    <x v="27"/>
    <x v="11"/>
    <x v="3"/>
    <s v="FUR-CH-10004063"/>
    <s v="Furniture"/>
    <x v="1"/>
    <s v="Global Deluxe High-Back Manager's Chair"/>
    <n v="2001.86"/>
    <n v="7"/>
    <n v="580.5394"/>
    <x v="2"/>
    <x v="2"/>
  </r>
  <r>
    <x v="43"/>
    <x v="43"/>
    <d v="2016-12-15T00:00:00"/>
    <x v="0"/>
    <s v="LH-17155"/>
    <s v="Logan Haushalter"/>
    <x v="0"/>
    <s v="United States"/>
    <x v="28"/>
    <x v="2"/>
    <x v="1"/>
    <s v="FUR-CH-10002965"/>
    <s v="Furniture"/>
    <x v="1"/>
    <s v="Global Leather Highback Executive Chair with Pneumatic Height Adjustment, Black"/>
    <n v="321.56799999999998"/>
    <n v="2"/>
    <n v="28.1372"/>
    <x v="2"/>
    <x v="5"/>
  </r>
  <r>
    <x v="44"/>
    <x v="44"/>
    <d v="2015-12-04T00:00:00"/>
    <x v="1"/>
    <s v="DR-12880"/>
    <s v="Dan Reichenbach"/>
    <x v="1"/>
    <s v="United States"/>
    <x v="9"/>
    <x v="8"/>
    <x v="3"/>
    <s v="FUR-FU-10002505"/>
    <s v="Furniture"/>
    <x v="3"/>
    <s v="Eldon 100 Class Desk Accessories"/>
    <n v="12.132"/>
    <n v="9"/>
    <n v="-8.4923999999999999"/>
    <x v="6"/>
    <x v="0"/>
  </r>
  <r>
    <x v="45"/>
    <x v="45"/>
    <d v="2015-07-31T00:00:00"/>
    <x v="2"/>
    <s v="HA-14920"/>
    <s v="Helen Andreada"/>
    <x v="0"/>
    <s v="United States"/>
    <x v="28"/>
    <x v="2"/>
    <x v="1"/>
    <s v="FUR-FU-10003274"/>
    <s v="Furniture"/>
    <x v="3"/>
    <s v="Regeneration Desk Collection"/>
    <n v="5.28"/>
    <n v="3"/>
    <n v="2.3231999999999999"/>
    <x v="5"/>
    <x v="3"/>
  </r>
  <r>
    <x v="46"/>
    <x v="46"/>
    <d v="2015-11-06T00:00:00"/>
    <x v="1"/>
    <s v="JO-15280"/>
    <s v="Jas O'Carroll"/>
    <x v="0"/>
    <s v="United States"/>
    <x v="2"/>
    <x v="2"/>
    <x v="1"/>
    <s v="FUR-TA-10002903"/>
    <s v="Furniture"/>
    <x v="2"/>
    <s v="Bevis Round Bullnose 29&quot; High Table Top"/>
    <n v="1038.8399999999999"/>
    <n v="5"/>
    <n v="51.942"/>
    <x v="4"/>
    <x v="0"/>
  </r>
  <r>
    <x v="47"/>
    <x v="47"/>
    <d v="2016-11-24T00:00:00"/>
    <x v="0"/>
    <s v="NZ-18565"/>
    <s v="Nick Zandusky"/>
    <x v="2"/>
    <s v="United States"/>
    <x v="29"/>
    <x v="15"/>
    <x v="2"/>
    <s v="FUR-BO-10004709"/>
    <s v="Furniture"/>
    <x v="0"/>
    <s v="Bush Westfield Collection Bookcases, Medium Cherry Finish"/>
    <n v="86.97"/>
    <n v="3"/>
    <n v="-48.703200000000002"/>
    <x v="4"/>
    <x v="0"/>
  </r>
  <r>
    <x v="48"/>
    <x v="22"/>
    <d v="2014-12-28T00:00:00"/>
    <x v="2"/>
    <s v="KL-16555"/>
    <s v="Kelly Lampkin"/>
    <x v="1"/>
    <s v="United States"/>
    <x v="30"/>
    <x v="12"/>
    <x v="1"/>
    <s v="FUR-FU-10004091"/>
    <s v="Furniture"/>
    <x v="3"/>
    <s v="Howard Miller 13&quot; Diameter Goldtone Round Wall Clock"/>
    <n v="300.416"/>
    <n v="8"/>
    <n v="78.859200000000001"/>
    <x v="3"/>
    <x v="5"/>
  </r>
  <r>
    <x v="48"/>
    <x v="22"/>
    <d v="2014-12-28T00:00:00"/>
    <x v="2"/>
    <s v="KL-16555"/>
    <s v="Kelly Lampkin"/>
    <x v="1"/>
    <s v="United States"/>
    <x v="30"/>
    <x v="12"/>
    <x v="1"/>
    <s v="FUR-CH-10001891"/>
    <s v="Furniture"/>
    <x v="1"/>
    <s v="Global Deluxe Office Fabric Chairs"/>
    <n v="230.352"/>
    <n v="3"/>
    <n v="20.155799999999999"/>
    <x v="3"/>
    <x v="5"/>
  </r>
  <r>
    <x v="48"/>
    <x v="22"/>
    <d v="2014-12-28T00:00:00"/>
    <x v="2"/>
    <s v="KL-16555"/>
    <s v="Kelly Lampkin"/>
    <x v="1"/>
    <s v="United States"/>
    <x v="30"/>
    <x v="12"/>
    <x v="1"/>
    <s v="FUR-FU-10002918"/>
    <s v="Furniture"/>
    <x v="3"/>
    <s v="Eldon ClusterMat Chair Mat with Cordless Antistatic Protection"/>
    <n v="218.352"/>
    <n v="3"/>
    <n v="-24.564599999999999"/>
    <x v="3"/>
    <x v="5"/>
  </r>
  <r>
    <x v="49"/>
    <x v="48"/>
    <d v="2016-11-03T00:00:00"/>
    <x v="1"/>
    <s v="JD-15895"/>
    <s v="Jonathan Doherty"/>
    <x v="1"/>
    <s v="United States"/>
    <x v="31"/>
    <x v="18"/>
    <x v="2"/>
    <s v="FUR-FU-10001861"/>
    <s v="Furniture"/>
    <x v="3"/>
    <s v="Floodlight Indoor Halogen Bulbs, 1 Bulb per Pack, 60 Watts"/>
    <n v="77.599999999999994"/>
    <n v="4"/>
    <n v="38.024000000000001"/>
    <x v="6"/>
    <x v="1"/>
  </r>
  <r>
    <x v="50"/>
    <x v="49"/>
    <d v="2017-11-23T00:00:00"/>
    <x v="1"/>
    <s v="JH-15910"/>
    <s v="Jonathan Howell"/>
    <x v="0"/>
    <s v="United States"/>
    <x v="9"/>
    <x v="8"/>
    <x v="3"/>
    <s v="FUR-TA-10002533"/>
    <s v="Furniture"/>
    <x v="2"/>
    <s v="BPI Conference Tables"/>
    <n v="219.07499999999999"/>
    <n v="3"/>
    <n v="-131.44499999999999"/>
    <x v="4"/>
    <x v="0"/>
  </r>
  <r>
    <x v="51"/>
    <x v="50"/>
    <d v="2015-05-09T00:00:00"/>
    <x v="0"/>
    <s v="AS-10225"/>
    <s v="Alan Schoenberger"/>
    <x v="1"/>
    <s v="United States"/>
    <x v="13"/>
    <x v="7"/>
    <x v="2"/>
    <s v="FUR-FU-10002671"/>
    <s v="Furniture"/>
    <x v="3"/>
    <s v="Electrix 20W Halogen Replacement Bulb for Zoom-In Desk Lamp"/>
    <n v="26.8"/>
    <n v="2"/>
    <n v="12.864000000000001"/>
    <x v="2"/>
    <x v="7"/>
  </r>
  <r>
    <x v="52"/>
    <x v="51"/>
    <d v="2016-09-14T00:00:00"/>
    <x v="0"/>
    <s v="BP-11185"/>
    <s v="Ben Peterman"/>
    <x v="1"/>
    <s v="United States"/>
    <x v="32"/>
    <x v="12"/>
    <x v="1"/>
    <s v="FUR-FU-10001918"/>
    <s v="Furniture"/>
    <x v="3"/>
    <s v="C-Line Cubicle Keepers Polyproplyene Holder With Velcro Backings"/>
    <n v="15.135999999999999"/>
    <n v="4"/>
    <n v="3.5948000000000002"/>
    <x v="3"/>
    <x v="4"/>
  </r>
  <r>
    <x v="52"/>
    <x v="51"/>
    <d v="2016-09-14T00:00:00"/>
    <x v="0"/>
    <s v="BP-11185"/>
    <s v="Ben Peterman"/>
    <x v="1"/>
    <s v="United States"/>
    <x v="32"/>
    <x v="12"/>
    <x v="1"/>
    <s v="FUR-CH-10004086"/>
    <s v="Furniture"/>
    <x v="1"/>
    <s v="Hon 4070 Series Pagoda Armless Upholstered Stacking Chairs"/>
    <n v="466.76799999999997"/>
    <n v="2"/>
    <n v="52.511400000000002"/>
    <x v="3"/>
    <x v="4"/>
  </r>
  <r>
    <x v="52"/>
    <x v="51"/>
    <d v="2016-09-14T00:00:00"/>
    <x v="0"/>
    <s v="BP-11185"/>
    <s v="Ben Peterman"/>
    <x v="1"/>
    <s v="United States"/>
    <x v="32"/>
    <x v="12"/>
    <x v="1"/>
    <s v="FUR-FU-10001756"/>
    <s v="Furniture"/>
    <x v="3"/>
    <s v="Eldon Expressions Desk Accessory, Wood Photo Frame, Mahogany"/>
    <n v="15.231999999999999"/>
    <n v="1"/>
    <n v="1.7136"/>
    <x v="3"/>
    <x v="4"/>
  </r>
  <r>
    <x v="53"/>
    <x v="52"/>
    <d v="2014-10-03T00:00:00"/>
    <x v="1"/>
    <s v="TS-21205"/>
    <s v="Thomas Seio"/>
    <x v="1"/>
    <s v="United States"/>
    <x v="33"/>
    <x v="18"/>
    <x v="2"/>
    <s v="FUR-FU-10001588"/>
    <s v="Furniture"/>
    <x v="3"/>
    <s v="Deflect-o SuperTray Unbreakable Stackable Tray, Letter, Black"/>
    <n v="87.54"/>
    <n v="3"/>
    <n v="37.642200000000003"/>
    <x v="6"/>
    <x v="4"/>
  </r>
  <r>
    <x v="54"/>
    <x v="53"/>
    <d v="2014-11-09T00:00:00"/>
    <x v="1"/>
    <s v="NM-18445"/>
    <s v="Nathan Mautz"/>
    <x v="2"/>
    <s v="United States"/>
    <x v="13"/>
    <x v="7"/>
    <x v="2"/>
    <s v="FUR-CH-10002602"/>
    <s v="Furniture"/>
    <x v="1"/>
    <s v="DMI Arturo Collection Mission-style Design Wood Chair"/>
    <n v="135.88200000000001"/>
    <n v="1"/>
    <n v="24.1568"/>
    <x v="2"/>
    <x v="0"/>
  </r>
  <r>
    <x v="55"/>
    <x v="54"/>
    <d v="2017-11-05T00:00:00"/>
    <x v="0"/>
    <s v="DJ-13510"/>
    <s v="Don Jones"/>
    <x v="1"/>
    <s v="United States"/>
    <x v="34"/>
    <x v="9"/>
    <x v="0"/>
    <s v="FUR-FU-10001967"/>
    <s v="Furniture"/>
    <x v="3"/>
    <s v="Telescoping Adjustable Floor Lamp"/>
    <n v="15.992000000000001"/>
    <n v="1"/>
    <n v="0.99950000000000006"/>
    <x v="3"/>
    <x v="0"/>
  </r>
  <r>
    <x v="56"/>
    <x v="55"/>
    <d v="2016-09-01T00:00:00"/>
    <x v="2"/>
    <s v="PO-18850"/>
    <s v="Patrick O'Brill"/>
    <x v="0"/>
    <s v="United States"/>
    <x v="3"/>
    <x v="3"/>
    <x v="2"/>
    <s v="FUR-CH-10003312"/>
    <s v="Furniture"/>
    <x v="1"/>
    <s v="Hon 2090 ÒPillow SoftÓ Series Mid Back Swivel/Tilt Chairs"/>
    <n v="786.74400000000003"/>
    <n v="4"/>
    <n v="-258.5016"/>
    <x v="3"/>
    <x v="10"/>
  </r>
  <r>
    <x v="57"/>
    <x v="56"/>
    <d v="2014-07-17T00:00:00"/>
    <x v="1"/>
    <s v="AC-10420"/>
    <s v="Alyssa Crouse"/>
    <x v="1"/>
    <s v="United States"/>
    <x v="28"/>
    <x v="2"/>
    <x v="1"/>
    <s v="FUR-TA-10004575"/>
    <s v="Furniture"/>
    <x v="2"/>
    <s v="Hon 5100 Series Wood Tables"/>
    <n v="698.35199999999998"/>
    <n v="3"/>
    <n v="-17.4588"/>
    <x v="2"/>
    <x v="3"/>
  </r>
  <r>
    <x v="58"/>
    <x v="57"/>
    <d v="2016-04-13T00:00:00"/>
    <x v="1"/>
    <s v="JL-15505"/>
    <s v="Jeremy Lonsdale"/>
    <x v="0"/>
    <s v="United States"/>
    <x v="13"/>
    <x v="7"/>
    <x v="2"/>
    <s v="FUR-BO-10002268"/>
    <s v="Furniture"/>
    <x v="0"/>
    <s v="Sauder Barrister Bookcases"/>
    <n v="388.70400000000001"/>
    <n v="6"/>
    <n v="-4.8587999999999996"/>
    <x v="2"/>
    <x v="6"/>
  </r>
  <r>
    <x v="59"/>
    <x v="58"/>
    <d v="2017-10-01T00:00:00"/>
    <x v="1"/>
    <s v="KW-16435"/>
    <s v="Katrina Willman"/>
    <x v="0"/>
    <s v="United States"/>
    <x v="13"/>
    <x v="7"/>
    <x v="2"/>
    <s v="FUR-CH-10000785"/>
    <s v="Furniture"/>
    <x v="1"/>
    <s v="Global Ergonomic Managers Chair"/>
    <n v="488.64600000000002"/>
    <n v="3"/>
    <n v="86.870400000000004"/>
    <x v="6"/>
    <x v="4"/>
  </r>
  <r>
    <x v="59"/>
    <x v="58"/>
    <d v="2017-10-01T00:00:00"/>
    <x v="1"/>
    <s v="KW-16435"/>
    <s v="Katrina Willman"/>
    <x v="0"/>
    <s v="United States"/>
    <x v="13"/>
    <x v="7"/>
    <x v="2"/>
    <s v="FUR-FU-10000023"/>
    <s v="Furniture"/>
    <x v="3"/>
    <s v="Eldon Wave Desk Accessories"/>
    <n v="47.12"/>
    <n v="8"/>
    <n v="20.732800000000001"/>
    <x v="6"/>
    <x v="4"/>
  </r>
  <r>
    <x v="60"/>
    <x v="59"/>
    <d v="2016-10-21T00:00:00"/>
    <x v="3"/>
    <s v="MK-17905"/>
    <s v="Michael Kennedy"/>
    <x v="1"/>
    <s v="United States"/>
    <x v="35"/>
    <x v="19"/>
    <x v="2"/>
    <s v="FUR-BO-10002545"/>
    <s v="Furniture"/>
    <x v="0"/>
    <s v="Atlantic Metals Mobile 3-Shelf Bookcases, Custom Colors"/>
    <n v="1043.92"/>
    <n v="4"/>
    <n v="271.41919999999999"/>
    <x v="7"/>
    <x v="1"/>
  </r>
  <r>
    <x v="61"/>
    <x v="60"/>
    <d v="2017-09-01T00:00:00"/>
    <x v="1"/>
    <s v="AR-10405"/>
    <s v="Allen Rosenblatt"/>
    <x v="1"/>
    <s v="United States"/>
    <x v="20"/>
    <x v="20"/>
    <x v="2"/>
    <s v="FUR-TA-10004915"/>
    <s v="Furniture"/>
    <x v="2"/>
    <s v="Office Impressions End Table, 20-1/2&quot;H x 24&quot;W x 20&quot;D"/>
    <n v="1488.424"/>
    <n v="7"/>
    <n v="-297.6848"/>
    <x v="2"/>
    <x v="10"/>
  </r>
  <r>
    <x v="62"/>
    <x v="61"/>
    <d v="2015-12-02T00:00:00"/>
    <x v="1"/>
    <s v="DO-13435"/>
    <s v="Denny Ordway"/>
    <x v="0"/>
    <s v="United States"/>
    <x v="36"/>
    <x v="1"/>
    <x v="0"/>
    <s v="FUR-TA-10000617"/>
    <s v="Furniture"/>
    <x v="2"/>
    <s v="Hon Practical Foundations 30 x 60 Training Table, Light Gray/Charcoal"/>
    <n v="375.45749999999998"/>
    <n v="3"/>
    <n v="-157.0095"/>
    <x v="2"/>
    <x v="0"/>
  </r>
  <r>
    <x v="63"/>
    <x v="62"/>
    <d v="2015-12-07T00:00:00"/>
    <x v="1"/>
    <s v="DK-13225"/>
    <s v="Dean Katz"/>
    <x v="1"/>
    <s v="United States"/>
    <x v="3"/>
    <x v="3"/>
    <x v="2"/>
    <s v="FUR-FU-10001935"/>
    <s v="Furniture"/>
    <x v="3"/>
    <s v="3M Hangers With Command Adhesive"/>
    <n v="2.96"/>
    <n v="1"/>
    <n v="0.77700000000000002"/>
    <x v="4"/>
    <x v="5"/>
  </r>
  <r>
    <x v="64"/>
    <x v="63"/>
    <d v="2016-09-10T00:00:00"/>
    <x v="0"/>
    <s v="AG-10675"/>
    <s v="Anna Gayman"/>
    <x v="0"/>
    <s v="United States"/>
    <x v="6"/>
    <x v="5"/>
    <x v="3"/>
    <s v="FUR-BO-10004834"/>
    <s v="Furniture"/>
    <x v="0"/>
    <s v="Riverside Palais Royal Lawyers Bookcase, Royale Cherry Finish"/>
    <n v="2396.2656000000002"/>
    <n v="4"/>
    <n v="-317.15280000000001"/>
    <x v="3"/>
    <x v="4"/>
  </r>
  <r>
    <x v="65"/>
    <x v="64"/>
    <d v="2017-12-12T00:00:00"/>
    <x v="1"/>
    <s v="KH-16510"/>
    <s v="Keith Herrera"/>
    <x v="0"/>
    <s v="United States"/>
    <x v="28"/>
    <x v="2"/>
    <x v="1"/>
    <s v="FUR-TA-10002041"/>
    <s v="Furniture"/>
    <x v="2"/>
    <s v="Bevis Round Conference Table Top, X-Base"/>
    <n v="1004.024"/>
    <n v="7"/>
    <n v="-112.95269999999999"/>
    <x v="4"/>
    <x v="5"/>
  </r>
  <r>
    <x v="65"/>
    <x v="64"/>
    <d v="2017-12-12T00:00:00"/>
    <x v="1"/>
    <s v="KH-16510"/>
    <s v="Keith Herrera"/>
    <x v="0"/>
    <s v="United States"/>
    <x v="28"/>
    <x v="2"/>
    <x v="1"/>
    <s v="FUR-BO-10001972"/>
    <s v="Furniture"/>
    <x v="0"/>
    <s v="O'Sullivan 4-Shelf Bookcase in Odessa Pine"/>
    <n v="1336.829"/>
    <n v="13"/>
    <n v="31.454799999999999"/>
    <x v="4"/>
    <x v="5"/>
  </r>
  <r>
    <x v="65"/>
    <x v="64"/>
    <d v="2017-12-12T00:00:00"/>
    <x v="1"/>
    <s v="KH-16510"/>
    <s v="Keith Herrera"/>
    <x v="0"/>
    <s v="United States"/>
    <x v="28"/>
    <x v="2"/>
    <x v="1"/>
    <s v="FUR-CH-10003956"/>
    <s v="Furniture"/>
    <x v="1"/>
    <s v="Novimex High-Tech Fabric Mesh Task Chair"/>
    <n v="113.568"/>
    <n v="2"/>
    <n v="-18.454799999999999"/>
    <x v="4"/>
    <x v="5"/>
  </r>
  <r>
    <x v="66"/>
    <x v="54"/>
    <d v="2017-11-07T00:00:00"/>
    <x v="1"/>
    <s v="KC-16675"/>
    <s v="Kimberly Carter"/>
    <x v="1"/>
    <s v="United States"/>
    <x v="15"/>
    <x v="13"/>
    <x v="1"/>
    <s v="FUR-CH-10001891"/>
    <s v="Furniture"/>
    <x v="1"/>
    <s v="Global Deluxe Office Fabric Chairs"/>
    <n v="307.13600000000002"/>
    <n v="4"/>
    <n v="26.874400000000001"/>
    <x v="4"/>
    <x v="0"/>
  </r>
  <r>
    <x v="67"/>
    <x v="65"/>
    <d v="2016-04-18T00:00:00"/>
    <x v="1"/>
    <s v="PB-19150"/>
    <s v="Philip Brown"/>
    <x v="0"/>
    <s v="United States"/>
    <x v="2"/>
    <x v="2"/>
    <x v="1"/>
    <s v="FUR-CH-10004886"/>
    <s v="Furniture"/>
    <x v="1"/>
    <s v="Bevis Steel Folding Chairs"/>
    <n v="383.8"/>
    <n v="5"/>
    <n v="38.380000000000003"/>
    <x v="4"/>
    <x v="6"/>
  </r>
  <r>
    <x v="68"/>
    <x v="66"/>
    <d v="2017-10-23T00:00:00"/>
    <x v="1"/>
    <s v="MP-17965"/>
    <s v="Michael Paige"/>
    <x v="1"/>
    <s v="United States"/>
    <x v="37"/>
    <x v="20"/>
    <x v="2"/>
    <s v="FUR-FU-10004712"/>
    <s v="Furniture"/>
    <x v="3"/>
    <s v="Westinghouse Mesh Shade Clip-On Gooseneck Lamp, Black"/>
    <n v="56.56"/>
    <n v="4"/>
    <n v="14.7056"/>
    <x v="4"/>
    <x v="1"/>
  </r>
  <r>
    <x v="69"/>
    <x v="67"/>
    <d v="2017-08-23T00:00:00"/>
    <x v="0"/>
    <s v="NF-18385"/>
    <s v="Natalie Fritzler"/>
    <x v="0"/>
    <s v="United States"/>
    <x v="38"/>
    <x v="21"/>
    <x v="0"/>
    <s v="FUR-CH-10000015"/>
    <s v="Furniture"/>
    <x v="1"/>
    <s v="Hon Multipurpose Stacking Arm Chairs"/>
    <n v="866.4"/>
    <n v="4"/>
    <n v="225.26400000000001"/>
    <x v="3"/>
    <x v="10"/>
  </r>
  <r>
    <x v="70"/>
    <x v="68"/>
    <d v="2017-11-26T00:00:00"/>
    <x v="0"/>
    <s v="JM-15265"/>
    <s v="Janet Molinari"/>
    <x v="1"/>
    <s v="United States"/>
    <x v="39"/>
    <x v="17"/>
    <x v="3"/>
    <s v="FUR-FU-10003347"/>
    <s v="Furniture"/>
    <x v="3"/>
    <s v="Coloredge Poster Frame"/>
    <n v="28.4"/>
    <n v="2"/>
    <n v="11.076000000000001"/>
    <x v="0"/>
    <x v="0"/>
  </r>
  <r>
    <x v="71"/>
    <x v="69"/>
    <d v="2017-01-23T00:00:00"/>
    <x v="0"/>
    <s v="CV-12805"/>
    <s v="Cynthia Voltz"/>
    <x v="1"/>
    <s v="United States"/>
    <x v="13"/>
    <x v="7"/>
    <x v="2"/>
    <s v="FUR-CH-10003396"/>
    <s v="Furniture"/>
    <x v="1"/>
    <s v="Global Deluxe Steno Chair"/>
    <n v="207.846"/>
    <n v="3"/>
    <n v="2.3094000000000001"/>
    <x v="0"/>
    <x v="8"/>
  </r>
  <r>
    <x v="72"/>
    <x v="26"/>
    <d v="2016-09-07T00:00:00"/>
    <x v="0"/>
    <s v="PK-19075"/>
    <s v="Pete Kriz"/>
    <x v="0"/>
    <s v="United States"/>
    <x v="25"/>
    <x v="17"/>
    <x v="3"/>
    <s v="FUR-FU-10000246"/>
    <s v="Furniture"/>
    <x v="3"/>
    <s v="Aluminum Document Frame"/>
    <n v="12.22"/>
    <n v="1"/>
    <n v="3.6659999999999999"/>
    <x v="3"/>
    <x v="4"/>
  </r>
  <r>
    <x v="72"/>
    <x v="26"/>
    <d v="2016-09-07T00:00:00"/>
    <x v="0"/>
    <s v="PK-19075"/>
    <s v="Pete Kriz"/>
    <x v="0"/>
    <s v="United States"/>
    <x v="25"/>
    <x v="17"/>
    <x v="3"/>
    <s v="FUR-CH-10002372"/>
    <s v="Furniture"/>
    <x v="1"/>
    <s v="Office Star - Ergonomically Designed Knee Chair"/>
    <n v="242.94"/>
    <n v="3"/>
    <n v="29.152799999999999"/>
    <x v="3"/>
    <x v="4"/>
  </r>
  <r>
    <x v="73"/>
    <x v="70"/>
    <d v="2017-03-25T00:00:00"/>
    <x v="0"/>
    <s v="TB-21595"/>
    <s v="Troy Blackwell"/>
    <x v="0"/>
    <s v="United States"/>
    <x v="29"/>
    <x v="6"/>
    <x v="3"/>
    <s v="FUR-FU-10000206"/>
    <s v="Furniture"/>
    <x v="3"/>
    <s v="GE General Purpose, Extra Long Life, Showcase &amp; Floodlight Incandescent Bulbs"/>
    <n v="2.91"/>
    <n v="1"/>
    <n v="1.3676999999999999"/>
    <x v="2"/>
    <x v="9"/>
  </r>
  <r>
    <x v="74"/>
    <x v="71"/>
    <d v="2017-10-24T00:00:00"/>
    <x v="1"/>
    <s v="EB-13705"/>
    <s v="Ed Braxton"/>
    <x v="1"/>
    <s v="United States"/>
    <x v="40"/>
    <x v="15"/>
    <x v="2"/>
    <s v="FUR-TA-10001539"/>
    <s v="Furniture"/>
    <x v="2"/>
    <s v="Chromcraft Rectangular Conference Tables"/>
    <n v="284.36399999999998"/>
    <n v="2"/>
    <n v="-75.830399999999997"/>
    <x v="4"/>
    <x v="1"/>
  </r>
  <r>
    <x v="75"/>
    <x v="72"/>
    <d v="2014-02-18T00:00:00"/>
    <x v="1"/>
    <s v="SC-20095"/>
    <s v="Sanjit Chand"/>
    <x v="0"/>
    <s v="United States"/>
    <x v="41"/>
    <x v="2"/>
    <x v="1"/>
    <s v="FUR-CH-10000225"/>
    <s v="Furniture"/>
    <x v="1"/>
    <s v="Global Geo Office Task Chair, Gray"/>
    <n v="129.56800000000001"/>
    <n v="2"/>
    <n v="-24.294"/>
    <x v="6"/>
    <x v="11"/>
  </r>
  <r>
    <x v="76"/>
    <x v="73"/>
    <d v="2016-10-01T00:00:00"/>
    <x v="1"/>
    <s v="NF-18385"/>
    <s v="Natalie Fritzler"/>
    <x v="0"/>
    <s v="United States"/>
    <x v="42"/>
    <x v="8"/>
    <x v="3"/>
    <s v="FUR-CH-10002331"/>
    <s v="Furniture"/>
    <x v="1"/>
    <s v="Hon 4700 Series Mobuis Mid-Back Task Chairs with Adjustable Arms"/>
    <n v="747.55799999999999"/>
    <n v="3"/>
    <n v="-96.114599999999996"/>
    <x v="2"/>
    <x v="4"/>
  </r>
  <r>
    <x v="77"/>
    <x v="74"/>
    <d v="2016-04-29T00:00:00"/>
    <x v="1"/>
    <s v="TN-21040"/>
    <s v="Tanja Norvell"/>
    <x v="2"/>
    <s v="United States"/>
    <x v="43"/>
    <x v="22"/>
    <x v="1"/>
    <s v="FUR-FU-10000023"/>
    <s v="Furniture"/>
    <x v="3"/>
    <s v="Eldon Wave Desk Accessories"/>
    <n v="23.56"/>
    <n v="5"/>
    <n v="7.0679999999999996"/>
    <x v="1"/>
    <x v="6"/>
  </r>
  <r>
    <x v="77"/>
    <x v="74"/>
    <d v="2016-04-29T00:00:00"/>
    <x v="1"/>
    <s v="TN-21040"/>
    <s v="Tanja Norvell"/>
    <x v="2"/>
    <s v="United States"/>
    <x v="43"/>
    <x v="22"/>
    <x v="1"/>
    <s v="FUR-TA-10001889"/>
    <s v="Furniture"/>
    <x v="2"/>
    <s v="Bush Advantage Collection Racetrack Conference Table"/>
    <n v="1272.6300000000001"/>
    <n v="6"/>
    <n v="-814.48320000000001"/>
    <x v="1"/>
    <x v="6"/>
  </r>
  <r>
    <x v="78"/>
    <x v="75"/>
    <d v="2015-01-24T00:00:00"/>
    <x v="1"/>
    <s v="JS-15940"/>
    <s v="Joni Sundaresam"/>
    <x v="2"/>
    <s v="United States"/>
    <x v="44"/>
    <x v="8"/>
    <x v="3"/>
    <s v="FUR-FU-10002918"/>
    <s v="Furniture"/>
    <x v="3"/>
    <s v="Eldon ClusterMat Chair Mat with Cordless Antistatic Protection"/>
    <n v="254.744"/>
    <n v="7"/>
    <n v="-312.06139999999999"/>
    <x v="1"/>
    <x v="8"/>
  </r>
  <r>
    <x v="79"/>
    <x v="76"/>
    <d v="2017-04-04T00:00:00"/>
    <x v="1"/>
    <s v="DS-13180"/>
    <s v="David Smith"/>
    <x v="1"/>
    <s v="United States"/>
    <x v="45"/>
    <x v="5"/>
    <x v="3"/>
    <s v="FUR-BO-10002824"/>
    <s v="Furniture"/>
    <x v="0"/>
    <s v="Bush Mission Pointe Library"/>
    <n v="205.33279999999999"/>
    <n v="2"/>
    <n v="-36.235199999999999"/>
    <x v="4"/>
    <x v="9"/>
  </r>
  <r>
    <x v="80"/>
    <x v="77"/>
    <d v="2014-11-11T00:00:00"/>
    <x v="0"/>
    <s v="JP-15520"/>
    <s v="Jeremy Pistek"/>
    <x v="0"/>
    <s v="United States"/>
    <x v="28"/>
    <x v="2"/>
    <x v="1"/>
    <s v="FUR-BO-10001601"/>
    <s v="Furniture"/>
    <x v="0"/>
    <s v="Sauder Mission Library with Doors, Fruitwood Finish"/>
    <n v="222.666"/>
    <n v="2"/>
    <n v="10.478400000000001"/>
    <x v="3"/>
    <x v="0"/>
  </r>
  <r>
    <x v="81"/>
    <x v="78"/>
    <d v="2016-11-02T00:00:00"/>
    <x v="1"/>
    <s v="JE-15475"/>
    <s v="Jeremy Ellison"/>
    <x v="0"/>
    <s v="United States"/>
    <x v="8"/>
    <x v="7"/>
    <x v="2"/>
    <s v="FUR-FU-10002671"/>
    <s v="Furniture"/>
    <x v="3"/>
    <s v="Electrix 20W Halogen Replacement Bulb for Zoom-In Desk Lamp"/>
    <n v="40.200000000000003"/>
    <n v="3"/>
    <n v="19.295999999999999"/>
    <x v="6"/>
    <x v="1"/>
  </r>
  <r>
    <x v="82"/>
    <x v="79"/>
    <d v="2017-06-13T00:00:00"/>
    <x v="2"/>
    <s v="MT-18070"/>
    <s v="Michelle Tran"/>
    <x v="2"/>
    <s v="United States"/>
    <x v="2"/>
    <x v="2"/>
    <x v="1"/>
    <s v="FUR-BO-10001337"/>
    <s v="Furniture"/>
    <x v="0"/>
    <s v="O'Sullivan Living Dimensions 2-Shelf Bookcases"/>
    <n v="514.16499999999996"/>
    <n v="5"/>
    <n v="-30.245000000000001"/>
    <x v="0"/>
    <x v="2"/>
  </r>
  <r>
    <x v="83"/>
    <x v="80"/>
    <d v="2016-03-21T00:00:00"/>
    <x v="0"/>
    <s v="RO-19780"/>
    <s v="Rose O'Brian"/>
    <x v="0"/>
    <s v="United States"/>
    <x v="10"/>
    <x v="9"/>
    <x v="0"/>
    <s v="FUR-TA-10001857"/>
    <s v="Furniture"/>
    <x v="2"/>
    <s v="Balt Solid Wood Rectangular Table"/>
    <n v="189.88200000000001"/>
    <n v="3"/>
    <n v="-94.941000000000003"/>
    <x v="0"/>
    <x v="9"/>
  </r>
  <r>
    <x v="84"/>
    <x v="81"/>
    <d v="2016-07-31T00:00:00"/>
    <x v="1"/>
    <s v="SC-20095"/>
    <s v="Sanjit Chand"/>
    <x v="0"/>
    <s v="United States"/>
    <x v="46"/>
    <x v="2"/>
    <x v="1"/>
    <s v="FUR-FU-10004864"/>
    <s v="Furniture"/>
    <x v="3"/>
    <s v="Howard Miller 14-1/2&quot; Diameter Chrome Round Wall Clock"/>
    <n v="255.76"/>
    <n v="4"/>
    <n v="81.843199999999996"/>
    <x v="6"/>
    <x v="3"/>
  </r>
  <r>
    <x v="84"/>
    <x v="81"/>
    <d v="2016-07-31T00:00:00"/>
    <x v="1"/>
    <s v="SC-20095"/>
    <s v="Sanjit Chand"/>
    <x v="0"/>
    <s v="United States"/>
    <x v="46"/>
    <x v="2"/>
    <x v="1"/>
    <s v="FUR-CH-10002602"/>
    <s v="Furniture"/>
    <x v="1"/>
    <s v="DMI Arturo Collection Mission-style Design Wood Chair"/>
    <n v="241.56800000000001"/>
    <n v="2"/>
    <n v="18.117599999999999"/>
    <x v="6"/>
    <x v="3"/>
  </r>
  <r>
    <x v="84"/>
    <x v="81"/>
    <d v="2016-07-31T00:00:00"/>
    <x v="1"/>
    <s v="SC-20095"/>
    <s v="Sanjit Chand"/>
    <x v="0"/>
    <s v="United States"/>
    <x v="46"/>
    <x v="2"/>
    <x v="1"/>
    <s v="FUR-FU-10000073"/>
    <s v="Furniture"/>
    <x v="3"/>
    <s v="Deflect-O Glasstique Clear Desk Accessories"/>
    <n v="69.3"/>
    <n v="9"/>
    <n v="22.869"/>
    <x v="6"/>
    <x v="3"/>
  </r>
  <r>
    <x v="85"/>
    <x v="82"/>
    <d v="2016-06-04T00:00:00"/>
    <x v="1"/>
    <s v="MY-17380"/>
    <s v="Maribeth Yedwab"/>
    <x v="1"/>
    <s v="United States"/>
    <x v="47"/>
    <x v="12"/>
    <x v="1"/>
    <s v="FUR-CH-10001215"/>
    <s v="Furniture"/>
    <x v="1"/>
    <s v="Global Troy Executive Leather Low-Back Tilter"/>
    <n v="801.56799999999998"/>
    <n v="2"/>
    <n v="50.097999999999999"/>
    <x v="2"/>
    <x v="7"/>
  </r>
  <r>
    <x v="86"/>
    <x v="83"/>
    <d v="2017-11-27T00:00:00"/>
    <x v="2"/>
    <s v="LS-17245"/>
    <s v="Lynn Smith"/>
    <x v="0"/>
    <s v="United States"/>
    <x v="48"/>
    <x v="23"/>
    <x v="3"/>
    <s v="FUR-FU-10001290"/>
    <s v="Furniture"/>
    <x v="3"/>
    <s v="Executive Impressions Supervisor Wall Clock"/>
    <n v="126.3"/>
    <n v="3"/>
    <n v="40.415999999999997"/>
    <x v="5"/>
    <x v="0"/>
  </r>
  <r>
    <x v="87"/>
    <x v="84"/>
    <d v="2017-01-25T00:00:00"/>
    <x v="2"/>
    <s v="MC-17605"/>
    <s v="Matt Connell"/>
    <x v="1"/>
    <s v="United States"/>
    <x v="25"/>
    <x v="17"/>
    <x v="3"/>
    <s v="FUR-TA-10001857"/>
    <s v="Furniture"/>
    <x v="2"/>
    <s v="Balt Solid Wood Rectangular Table"/>
    <n v="210.98"/>
    <n v="2"/>
    <n v="21.097999999999999"/>
    <x v="3"/>
    <x v="8"/>
  </r>
  <r>
    <x v="88"/>
    <x v="85"/>
    <d v="2017-10-26T00:00:00"/>
    <x v="1"/>
    <s v="PH-18790"/>
    <s v="Patricia Hirasaki"/>
    <x v="2"/>
    <s v="United States"/>
    <x v="49"/>
    <x v="1"/>
    <x v="0"/>
    <s v="FUR-CH-10003379"/>
    <s v="Furniture"/>
    <x v="1"/>
    <s v="Global Commerce Series High-Back Swivel/Tilt Chairs"/>
    <n v="683.952"/>
    <n v="3"/>
    <n v="42.747"/>
    <x v="2"/>
    <x v="1"/>
  </r>
  <r>
    <x v="88"/>
    <x v="85"/>
    <d v="2017-10-26T00:00:00"/>
    <x v="1"/>
    <s v="PH-18790"/>
    <s v="Patricia Hirasaki"/>
    <x v="2"/>
    <s v="United States"/>
    <x v="49"/>
    <x v="1"/>
    <x v="0"/>
    <s v="FUR-FU-10001756"/>
    <s v="Furniture"/>
    <x v="3"/>
    <s v="Eldon Expressions Desk Accessory, Wood Photo Frame, Mahogany"/>
    <n v="45.695999999999998"/>
    <n v="3"/>
    <n v="5.1407999999999996"/>
    <x v="2"/>
    <x v="1"/>
  </r>
  <r>
    <x v="89"/>
    <x v="86"/>
    <d v="2015-11-09T00:00:00"/>
    <x v="0"/>
    <s v="KB-16240"/>
    <s v="Karen Bern"/>
    <x v="1"/>
    <s v="United States"/>
    <x v="2"/>
    <x v="2"/>
    <x v="1"/>
    <s v="FUR-CH-10000595"/>
    <s v="Furniture"/>
    <x v="1"/>
    <s v="Safco Contoured Stacking Chairs"/>
    <n v="190.72"/>
    <n v="1"/>
    <n v="11.92"/>
    <x v="3"/>
    <x v="0"/>
  </r>
  <r>
    <x v="90"/>
    <x v="87"/>
    <d v="2017-09-11T00:00:00"/>
    <x v="1"/>
    <s v="JC-15340"/>
    <s v="Jasper Cacioppo"/>
    <x v="0"/>
    <s v="United States"/>
    <x v="2"/>
    <x v="2"/>
    <x v="1"/>
    <s v="FUR-FU-10000448"/>
    <s v="Furniture"/>
    <x v="3"/>
    <s v="Tenex Chairmats For Use With Carpeted Floors"/>
    <n v="47.94"/>
    <n v="3"/>
    <n v="2.3969999999999998"/>
    <x v="4"/>
    <x v="4"/>
  </r>
  <r>
    <x v="91"/>
    <x v="88"/>
    <d v="2015-12-11T00:00:00"/>
    <x v="1"/>
    <s v="DK-12985"/>
    <s v="Darren Koutras"/>
    <x v="0"/>
    <s v="United States"/>
    <x v="0"/>
    <x v="0"/>
    <x v="0"/>
    <s v="FUR-CH-10002647"/>
    <s v="Furniture"/>
    <x v="1"/>
    <s v="Situations Contoured Folding Chairs, 4/Set"/>
    <n v="283.92"/>
    <n v="4"/>
    <n v="70.98"/>
    <x v="4"/>
    <x v="5"/>
  </r>
  <r>
    <x v="92"/>
    <x v="89"/>
    <d v="2014-05-16T00:00:00"/>
    <x v="1"/>
    <s v="PG-18895"/>
    <s v="Paul Gonzalez"/>
    <x v="0"/>
    <s v="United States"/>
    <x v="50"/>
    <x v="5"/>
    <x v="3"/>
    <s v="FUR-FU-10000723"/>
    <s v="Furniture"/>
    <x v="3"/>
    <s v="Deflect-o EconoMat Studded, No Bevel Mat for Low Pile Carpeting"/>
    <n v="66.111999999999995"/>
    <n v="4"/>
    <n v="-84.2928"/>
    <x v="2"/>
    <x v="7"/>
  </r>
  <r>
    <x v="93"/>
    <x v="90"/>
    <d v="2016-04-17T00:00:00"/>
    <x v="0"/>
    <s v="BD-11320"/>
    <s v="Bill Donatelli"/>
    <x v="0"/>
    <s v="United States"/>
    <x v="28"/>
    <x v="2"/>
    <x v="1"/>
    <s v="FUR-CH-10002024"/>
    <s v="Furniture"/>
    <x v="1"/>
    <s v="HON 5400 Series Task Chairs for Big and Tall"/>
    <n v="1121.568"/>
    <n v="2"/>
    <n v="0"/>
    <x v="3"/>
    <x v="6"/>
  </r>
  <r>
    <x v="94"/>
    <x v="91"/>
    <d v="2017-09-12T00:00:00"/>
    <x v="2"/>
    <s v="RC-19960"/>
    <s v="Ryan Crowe"/>
    <x v="0"/>
    <s v="United States"/>
    <x v="51"/>
    <x v="1"/>
    <x v="0"/>
    <s v="FUR-FU-10003039"/>
    <s v="Furniture"/>
    <x v="3"/>
    <s v="Howard Miller 11-1/2&quot; Diameter Grantwood Wall Clock"/>
    <n v="34.503999999999998"/>
    <n v="1"/>
    <n v="6.0381999999999998"/>
    <x v="5"/>
    <x v="4"/>
  </r>
  <r>
    <x v="95"/>
    <x v="92"/>
    <d v="2016-06-15T00:00:00"/>
    <x v="1"/>
    <s v="OT-18730"/>
    <s v="Olvera Toch"/>
    <x v="0"/>
    <s v="United States"/>
    <x v="2"/>
    <x v="2"/>
    <x v="1"/>
    <s v="FUR-TA-10004256"/>
    <s v="Furniture"/>
    <x v="2"/>
    <s v="Bretford ÒJust In TimeÓ Height-Adjustable Multi-Task Work Tables"/>
    <n v="1335.68"/>
    <n v="4"/>
    <n v="-217.048"/>
    <x v="2"/>
    <x v="2"/>
  </r>
  <r>
    <x v="96"/>
    <x v="93"/>
    <d v="2017-11-22T00:00:00"/>
    <x v="0"/>
    <s v="LP-17080"/>
    <s v="Liz Pelletier"/>
    <x v="0"/>
    <s v="United States"/>
    <x v="28"/>
    <x v="2"/>
    <x v="1"/>
    <s v="FUR-FU-10003347"/>
    <s v="Furniture"/>
    <x v="3"/>
    <s v="Coloredge Poster Frame"/>
    <n v="42.6"/>
    <n v="3"/>
    <n v="16.614000000000001"/>
    <x v="3"/>
    <x v="0"/>
  </r>
  <r>
    <x v="97"/>
    <x v="94"/>
    <d v="2014-09-18T00:00:00"/>
    <x v="0"/>
    <s v="CA-12775"/>
    <s v="Cynthia Arntzen"/>
    <x v="0"/>
    <s v="United States"/>
    <x v="26"/>
    <x v="1"/>
    <x v="0"/>
    <s v="FUR-FU-10004020"/>
    <s v="Furniture"/>
    <x v="3"/>
    <s v="Advantus Panel Wall Acrylic Frame"/>
    <n v="13.128"/>
    <n v="3"/>
    <n v="3.7743000000000002"/>
    <x v="4"/>
    <x v="4"/>
  </r>
  <r>
    <x v="98"/>
    <x v="95"/>
    <d v="2017-10-08T00:00:00"/>
    <x v="1"/>
    <s v="EB-13840"/>
    <s v="Ellis Ballard"/>
    <x v="1"/>
    <s v="United States"/>
    <x v="15"/>
    <x v="13"/>
    <x v="1"/>
    <s v="FUR-CH-10004997"/>
    <s v="Furniture"/>
    <x v="1"/>
    <s v="Hon Every-Day Series Multi-Task Chairs"/>
    <n v="451.15199999999999"/>
    <n v="3"/>
    <n v="0"/>
    <x v="1"/>
    <x v="1"/>
  </r>
  <r>
    <x v="99"/>
    <x v="96"/>
    <d v="2017-07-26T00:00:00"/>
    <x v="1"/>
    <s v="CS-11950"/>
    <s v="Carlos Soltero"/>
    <x v="0"/>
    <s v="United States"/>
    <x v="9"/>
    <x v="8"/>
    <x v="3"/>
    <s v="FUR-FU-10001475"/>
    <s v="Furniture"/>
    <x v="3"/>
    <s v="Contract Clock, 14&quot;, Brown"/>
    <n v="8.7919999999999998"/>
    <n v="1"/>
    <n v="-5.7148000000000003"/>
    <x v="6"/>
    <x v="3"/>
  </r>
  <r>
    <x v="100"/>
    <x v="97"/>
    <d v="2015-07-09T00:00:00"/>
    <x v="1"/>
    <s v="BD-11725"/>
    <s v="Bruce Degenhardt"/>
    <x v="0"/>
    <s v="United States"/>
    <x v="52"/>
    <x v="0"/>
    <x v="0"/>
    <s v="FUR-CH-10003956"/>
    <s v="Furniture"/>
    <x v="1"/>
    <s v="Novimex High-Tech Fabric Mesh Task Chair"/>
    <n v="70.98"/>
    <n v="1"/>
    <n v="4.9686000000000003"/>
    <x v="6"/>
    <x v="3"/>
  </r>
  <r>
    <x v="101"/>
    <x v="98"/>
    <d v="2014-08-15T00:00:00"/>
    <x v="1"/>
    <s v="LR-16915"/>
    <s v="Lena Radford"/>
    <x v="0"/>
    <s v="United States"/>
    <x v="53"/>
    <x v="2"/>
    <x v="1"/>
    <s v="FUR-FU-10001979"/>
    <s v="Furniture"/>
    <x v="3"/>
    <s v="Dana Halogen Swing-Arm Architect Lamp"/>
    <n v="327.76"/>
    <n v="8"/>
    <n v="91.772800000000004"/>
    <x v="1"/>
    <x v="10"/>
  </r>
  <r>
    <x v="102"/>
    <x v="99"/>
    <d v="2014-03-19T00:00:00"/>
    <x v="1"/>
    <s v="AS-10240"/>
    <s v="Alan Shonely"/>
    <x v="0"/>
    <s v="United States"/>
    <x v="26"/>
    <x v="1"/>
    <x v="0"/>
    <s v="FUR-FU-10001756"/>
    <s v="Furniture"/>
    <x v="3"/>
    <s v="Eldon Expressions Desk Accessory, Wood Photo Frame, Mahogany"/>
    <n v="45.695999999999998"/>
    <n v="3"/>
    <n v="5.1407999999999996"/>
    <x v="4"/>
    <x v="9"/>
  </r>
  <r>
    <x v="103"/>
    <x v="100"/>
    <d v="2017-08-23T00:00:00"/>
    <x v="0"/>
    <s v="NG-18355"/>
    <s v="Nat Gilpin"/>
    <x v="1"/>
    <s v="United States"/>
    <x v="13"/>
    <x v="7"/>
    <x v="2"/>
    <s v="FUR-FU-10003849"/>
    <s v="Furniture"/>
    <x v="3"/>
    <s v="DAX Metal Frame, Desktop, Stepped-Edge"/>
    <n v="40.479999999999997"/>
    <n v="2"/>
    <n v="15.7872"/>
    <x v="2"/>
    <x v="10"/>
  </r>
  <r>
    <x v="103"/>
    <x v="100"/>
    <d v="2017-08-23T00:00:00"/>
    <x v="0"/>
    <s v="NG-18355"/>
    <s v="Nat Gilpin"/>
    <x v="1"/>
    <s v="United States"/>
    <x v="13"/>
    <x v="7"/>
    <x v="2"/>
    <s v="FUR-FU-10000010"/>
    <s v="Furniture"/>
    <x v="3"/>
    <s v="DAX Value U-Channel Document Frames, Easel Back"/>
    <n v="9.94"/>
    <n v="2"/>
    <n v="3.0813999999999999"/>
    <x v="2"/>
    <x v="10"/>
  </r>
  <r>
    <x v="103"/>
    <x v="100"/>
    <d v="2017-08-23T00:00:00"/>
    <x v="0"/>
    <s v="NG-18355"/>
    <s v="Nat Gilpin"/>
    <x v="1"/>
    <s v="United States"/>
    <x v="13"/>
    <x v="7"/>
    <x v="2"/>
    <s v="FUR-FU-10000521"/>
    <s v="Furniture"/>
    <x v="3"/>
    <s v="Seth Thomas 14&quot; Putty-Colored Wall Clock"/>
    <n v="88.02"/>
    <n v="3"/>
    <n v="27.286200000000001"/>
    <x v="2"/>
    <x v="10"/>
  </r>
  <r>
    <x v="104"/>
    <x v="101"/>
    <d v="2015-12-03T00:00:00"/>
    <x v="1"/>
    <s v="SF-20965"/>
    <s v="Sylvia Foulston"/>
    <x v="1"/>
    <s v="United States"/>
    <x v="54"/>
    <x v="17"/>
    <x v="3"/>
    <s v="FUR-CH-10004853"/>
    <s v="Furniture"/>
    <x v="1"/>
    <s v="Global Manager's Adjustable Task Chair, Storm"/>
    <n v="301.95999999999998"/>
    <n v="2"/>
    <n v="87.568399999999997"/>
    <x v="4"/>
    <x v="0"/>
  </r>
  <r>
    <x v="105"/>
    <x v="102"/>
    <d v="2017-09-19T00:00:00"/>
    <x v="1"/>
    <s v="MO-17800"/>
    <s v="Meg O'Connel"/>
    <x v="2"/>
    <s v="United States"/>
    <x v="13"/>
    <x v="7"/>
    <x v="2"/>
    <s v="FUR-FU-10000221"/>
    <s v="Furniture"/>
    <x v="3"/>
    <s v="Master Caster Door Stop, Brown"/>
    <n v="35.56"/>
    <n v="7"/>
    <n v="12.090400000000001"/>
    <x v="4"/>
    <x v="4"/>
  </r>
  <r>
    <x v="106"/>
    <x v="103"/>
    <d v="2015-10-09T00:00:00"/>
    <x v="0"/>
    <s v="DJ-13420"/>
    <s v="Denny Joy"/>
    <x v="1"/>
    <s v="United States"/>
    <x v="55"/>
    <x v="24"/>
    <x v="0"/>
    <s v="FUR-CH-10001482"/>
    <s v="Furniture"/>
    <x v="1"/>
    <s v="Office Star - Mesh Screen back chair with Vinyl seat"/>
    <n v="392.94"/>
    <n v="3"/>
    <n v="43.223399999999998"/>
    <x v="2"/>
    <x v="1"/>
  </r>
  <r>
    <x v="107"/>
    <x v="104"/>
    <d v="2016-05-25T00:00:00"/>
    <x v="1"/>
    <s v="RB-19465"/>
    <s v="Rick Bensley"/>
    <x v="2"/>
    <s v="United States"/>
    <x v="56"/>
    <x v="2"/>
    <x v="1"/>
    <s v="FUR-FU-10000576"/>
    <s v="Furniture"/>
    <x v="3"/>
    <s v="Luxo Professional Fluorescent Magnifier Lamp with Clamp-Mount Base"/>
    <n v="1049.2"/>
    <n v="5"/>
    <n v="272.79199999999997"/>
    <x v="2"/>
    <x v="7"/>
  </r>
  <r>
    <x v="108"/>
    <x v="105"/>
    <d v="2016-12-22T00:00:00"/>
    <x v="1"/>
    <s v="JD-16150"/>
    <s v="Justin Deggeller"/>
    <x v="1"/>
    <s v="United States"/>
    <x v="12"/>
    <x v="11"/>
    <x v="3"/>
    <s v="FUR-FU-10000732"/>
    <s v="Furniture"/>
    <x v="3"/>
    <s v="Eldon 200 Class Desk Accessories"/>
    <n v="18.84"/>
    <n v="3"/>
    <n v="6.0288000000000004"/>
    <x v="4"/>
    <x v="5"/>
  </r>
  <r>
    <x v="109"/>
    <x v="106"/>
    <d v="2016-12-16T00:00:00"/>
    <x v="0"/>
    <s v="AR-10825"/>
    <s v="Anthony Rawles"/>
    <x v="1"/>
    <s v="United States"/>
    <x v="57"/>
    <x v="13"/>
    <x v="1"/>
    <s v="FUR-FU-10001935"/>
    <s v="Furniture"/>
    <x v="3"/>
    <s v="3M Hangers With Command Adhesive"/>
    <n v="14.8"/>
    <n v="4"/>
    <n v="6.0679999999999996"/>
    <x v="2"/>
    <x v="5"/>
  </r>
  <r>
    <x v="110"/>
    <x v="107"/>
    <d v="2016-09-19T00:00:00"/>
    <x v="3"/>
    <s v="EH-14125"/>
    <s v="Eugene Hildebrand"/>
    <x v="2"/>
    <s v="United States"/>
    <x v="14"/>
    <x v="8"/>
    <x v="3"/>
    <s v="FUR-CH-10001215"/>
    <s v="Furniture"/>
    <x v="1"/>
    <s v="Global Troy Executive Leather Low-Back Tilter"/>
    <n v="701.37199999999996"/>
    <n v="2"/>
    <n v="-50.097999999999999"/>
    <x v="7"/>
    <x v="4"/>
  </r>
  <r>
    <x v="111"/>
    <x v="108"/>
    <d v="2015-08-28T00:00:00"/>
    <x v="1"/>
    <s v="CB-12025"/>
    <s v="Cassandra Brandow"/>
    <x v="0"/>
    <s v="United States"/>
    <x v="58"/>
    <x v="5"/>
    <x v="3"/>
    <s v="FUR-TA-10001768"/>
    <s v="Furniture"/>
    <x v="2"/>
    <s v="Hon Racetrack Conference Tables"/>
    <n v="918.78499999999997"/>
    <n v="5"/>
    <n v="-118.12949999999999"/>
    <x v="4"/>
    <x v="10"/>
  </r>
  <r>
    <x v="112"/>
    <x v="109"/>
    <d v="2014-12-26T00:00:00"/>
    <x v="2"/>
    <s v="RP-19390"/>
    <s v="Resi Pšlking"/>
    <x v="0"/>
    <s v="United States"/>
    <x v="59"/>
    <x v="15"/>
    <x v="2"/>
    <s v="FUR-FU-10003096"/>
    <s v="Furniture"/>
    <x v="3"/>
    <s v="Master Giant Foot Doorstop, Safety Yellow"/>
    <n v="30.36"/>
    <n v="5"/>
    <n v="8.7285000000000004"/>
    <x v="3"/>
    <x v="5"/>
  </r>
  <r>
    <x v="113"/>
    <x v="110"/>
    <d v="2017-06-13T00:00:00"/>
    <x v="1"/>
    <s v="MO-17800"/>
    <s v="Meg O'Connel"/>
    <x v="2"/>
    <s v="United States"/>
    <x v="9"/>
    <x v="8"/>
    <x v="3"/>
    <s v="FUR-FU-10002759"/>
    <s v="Furniture"/>
    <x v="3"/>
    <s v="12-1/2 Diameter Round Wall Clock"/>
    <n v="23.975999999999999"/>
    <n v="3"/>
    <n v="-14.3856"/>
    <x v="4"/>
    <x v="2"/>
  </r>
  <r>
    <x v="113"/>
    <x v="110"/>
    <d v="2017-06-13T00:00:00"/>
    <x v="1"/>
    <s v="MO-17800"/>
    <s v="Meg O'Connel"/>
    <x v="2"/>
    <s v="United States"/>
    <x v="9"/>
    <x v="8"/>
    <x v="3"/>
    <s v="FUR-TA-10000688"/>
    <s v="Furniture"/>
    <x v="2"/>
    <s v="Chromcraft Bull-Nose Wood Round Conference Table Top, Wood Base"/>
    <n v="108.925"/>
    <n v="1"/>
    <n v="-71.890500000000003"/>
    <x v="4"/>
    <x v="2"/>
  </r>
  <r>
    <x v="114"/>
    <x v="111"/>
    <d v="2017-03-23T00:00:00"/>
    <x v="1"/>
    <s v="CD-11980"/>
    <s v="Carol Darley"/>
    <x v="0"/>
    <s v="United States"/>
    <x v="60"/>
    <x v="5"/>
    <x v="3"/>
    <s v="FUR-FU-10003553"/>
    <s v="Furniture"/>
    <x v="3"/>
    <s v="Howard Miller 13-1/2&quot; Diameter Rosebrook Wall Clock"/>
    <n v="82.524000000000001"/>
    <n v="3"/>
    <n v="-41.262"/>
    <x v="2"/>
    <x v="9"/>
  </r>
  <r>
    <x v="115"/>
    <x v="19"/>
    <d v="2017-12-29T00:00:00"/>
    <x v="1"/>
    <s v="RA-19285"/>
    <s v="Ralph Arnett"/>
    <x v="0"/>
    <s v="United States"/>
    <x v="13"/>
    <x v="7"/>
    <x v="2"/>
    <s v="FUR-BO-10004015"/>
    <s v="Furniture"/>
    <x v="0"/>
    <s v="Bush Andora Bookcase, Maple/Graphite Gray Finish"/>
    <n v="191.98400000000001"/>
    <n v="2"/>
    <n v="4.7995999999999999"/>
    <x v="4"/>
    <x v="5"/>
  </r>
  <r>
    <x v="116"/>
    <x v="112"/>
    <d v="2014-06-23T00:00:00"/>
    <x v="0"/>
    <s v="NP-18325"/>
    <s v="Naresj Patel"/>
    <x v="0"/>
    <s v="United States"/>
    <x v="61"/>
    <x v="25"/>
    <x v="0"/>
    <s v="FUR-FU-10004071"/>
    <s v="Furniture"/>
    <x v="3"/>
    <s v="Luxo Professional Magnifying Clamp-On Fluorescent Lamps"/>
    <n v="104.01"/>
    <n v="1"/>
    <n v="14.561400000000001"/>
    <x v="3"/>
    <x v="2"/>
  </r>
  <r>
    <x v="117"/>
    <x v="113"/>
    <d v="2017-09-08T00:00:00"/>
    <x v="1"/>
    <s v="Dl-13600"/>
    <s v="Dorris liebe"/>
    <x v="1"/>
    <s v="United States"/>
    <x v="59"/>
    <x v="15"/>
    <x v="2"/>
    <s v="FUR-FU-10002960"/>
    <s v="Furniture"/>
    <x v="3"/>
    <s v="Eldon 200 Class Desk Accessories, Burgundy"/>
    <n v="15.071999999999999"/>
    <n v="3"/>
    <n v="4.1448"/>
    <x v="6"/>
    <x v="4"/>
  </r>
  <r>
    <x v="118"/>
    <x v="114"/>
    <d v="2016-11-08T00:00:00"/>
    <x v="0"/>
    <s v="AS-10285"/>
    <s v="Alejandro Savely"/>
    <x v="1"/>
    <s v="United States"/>
    <x v="15"/>
    <x v="13"/>
    <x v="1"/>
    <s v="FUR-FU-10003394"/>
    <s v="Furniture"/>
    <x v="3"/>
    <s v="Tenex &quot;The Solids&quot; Textured Chair Mats"/>
    <n v="209.88"/>
    <n v="3"/>
    <n v="35.679600000000001"/>
    <x v="4"/>
    <x v="0"/>
  </r>
  <r>
    <x v="119"/>
    <x v="115"/>
    <d v="2015-04-14T00:00:00"/>
    <x v="1"/>
    <s v="JK-15370"/>
    <s v="Jay Kimmel"/>
    <x v="0"/>
    <s v="United States"/>
    <x v="62"/>
    <x v="2"/>
    <x v="1"/>
    <s v="FUR-TA-10002774"/>
    <s v="Furniture"/>
    <x v="2"/>
    <s v="Laminate Occasional Tables"/>
    <n v="369.91199999999998"/>
    <n v="3"/>
    <n v="-13.871700000000001"/>
    <x v="2"/>
    <x v="6"/>
  </r>
  <r>
    <x v="120"/>
    <x v="116"/>
    <d v="2014-12-04T00:00:00"/>
    <x v="2"/>
    <s v="DP-13165"/>
    <s v="David Philippe"/>
    <x v="0"/>
    <s v="United States"/>
    <x v="13"/>
    <x v="7"/>
    <x v="2"/>
    <s v="FUR-BO-10003272"/>
    <s v="Furniture"/>
    <x v="0"/>
    <s v="O'Sullivan Living Dimensions 5-Shelf Bookcases"/>
    <n v="883.92"/>
    <n v="5"/>
    <n v="-110.49"/>
    <x v="3"/>
    <x v="5"/>
  </r>
  <r>
    <x v="121"/>
    <x v="117"/>
    <d v="2014-01-14T00:00:00"/>
    <x v="2"/>
    <s v="SV-20365"/>
    <s v="Seth Vernon"/>
    <x v="0"/>
    <s v="United States"/>
    <x v="63"/>
    <x v="14"/>
    <x v="2"/>
    <s v="FUR-FU-10000010"/>
    <s v="Furniture"/>
    <x v="3"/>
    <s v="DAX Value U-Channel Document Frames, Easel Back"/>
    <n v="9.94"/>
    <n v="2"/>
    <n v="3.0813999999999999"/>
    <x v="0"/>
    <x v="8"/>
  </r>
  <r>
    <x v="122"/>
    <x v="118"/>
    <d v="2017-09-29T00:00:00"/>
    <x v="1"/>
    <s v="KC-16540"/>
    <s v="Kelly Collister"/>
    <x v="0"/>
    <s v="United States"/>
    <x v="19"/>
    <x v="15"/>
    <x v="2"/>
    <s v="FUR-FU-10002253"/>
    <s v="Furniture"/>
    <x v="3"/>
    <s v="Howard Miller 13&quot; Diameter Pewter Finish Round Wall Clock"/>
    <n v="103.056"/>
    <n v="3"/>
    <n v="24.4758"/>
    <x v="2"/>
    <x v="4"/>
  </r>
  <r>
    <x v="123"/>
    <x v="119"/>
    <d v="2014-06-07T00:00:00"/>
    <x v="1"/>
    <s v="CK-12325"/>
    <s v="Christine Kargatis"/>
    <x v="2"/>
    <s v="United States"/>
    <x v="4"/>
    <x v="4"/>
    <x v="1"/>
    <s v="FUR-FU-10000246"/>
    <s v="Furniture"/>
    <x v="3"/>
    <s v="Aluminum Document Frame"/>
    <n v="73.319999999999993"/>
    <n v="6"/>
    <n v="21.995999999999999"/>
    <x v="2"/>
    <x v="2"/>
  </r>
  <r>
    <x v="124"/>
    <x v="120"/>
    <d v="2016-12-19T00:00:00"/>
    <x v="1"/>
    <s v="MP-17965"/>
    <s v="Michael Paige"/>
    <x v="1"/>
    <s v="United States"/>
    <x v="25"/>
    <x v="17"/>
    <x v="3"/>
    <s v="FUR-TA-10000198"/>
    <s v="Furniture"/>
    <x v="2"/>
    <s v="Chromcraft Bull-Nose Wood Oval Conference Tables &amp; Bases"/>
    <n v="1652.94"/>
    <n v="3"/>
    <n v="231.41159999999999"/>
    <x v="4"/>
    <x v="5"/>
  </r>
  <r>
    <x v="125"/>
    <x v="121"/>
    <d v="2014-10-13T00:00:00"/>
    <x v="1"/>
    <s v="MR-17545"/>
    <s v="Mathew Reese"/>
    <x v="2"/>
    <s v="United States"/>
    <x v="3"/>
    <x v="3"/>
    <x v="2"/>
    <s v="FUR-FU-10000222"/>
    <s v="Furniture"/>
    <x v="3"/>
    <s v="Seth Thomas 16&quot; Steel Case Clock"/>
    <n v="129.91999999999999"/>
    <n v="5"/>
    <n v="21.111999999999998"/>
    <x v="6"/>
    <x v="1"/>
  </r>
  <r>
    <x v="126"/>
    <x v="122"/>
    <d v="2016-12-06T00:00:00"/>
    <x v="2"/>
    <s v="EG-13900"/>
    <s v="Emily Grady"/>
    <x v="0"/>
    <s v="United States"/>
    <x v="64"/>
    <x v="7"/>
    <x v="2"/>
    <s v="FUR-TA-10002228"/>
    <s v="Furniture"/>
    <x v="2"/>
    <s v="Bevis Traditional Conference Table Top, Plinth Base"/>
    <n v="400.03199999999998"/>
    <n v="2"/>
    <n v="-153.34559999999999"/>
    <x v="0"/>
    <x v="5"/>
  </r>
  <r>
    <x v="126"/>
    <x v="122"/>
    <d v="2016-12-06T00:00:00"/>
    <x v="2"/>
    <s v="EG-13900"/>
    <s v="Emily Grady"/>
    <x v="0"/>
    <s v="United States"/>
    <x v="64"/>
    <x v="7"/>
    <x v="2"/>
    <s v="FUR-CH-10002965"/>
    <s v="Furniture"/>
    <x v="1"/>
    <s v="Global Leather Highback Executive Chair with Pneumatic Height Adjustment, Black"/>
    <n v="542.64599999999996"/>
    <n v="3"/>
    <n v="102.49979999999999"/>
    <x v="0"/>
    <x v="5"/>
  </r>
  <r>
    <x v="127"/>
    <x v="123"/>
    <d v="2017-01-25T00:00:00"/>
    <x v="1"/>
    <s v="DS-13030"/>
    <s v="Darrin Sayre"/>
    <x v="2"/>
    <s v="United States"/>
    <x v="15"/>
    <x v="13"/>
    <x v="1"/>
    <s v="FUR-BO-10001619"/>
    <s v="Furniture"/>
    <x v="0"/>
    <s v="O'Sullivan Cherrywood Estates Traditional Bookcase"/>
    <n v="84.98"/>
    <n v="1"/>
    <n v="18.695599999999999"/>
    <x v="4"/>
    <x v="8"/>
  </r>
  <r>
    <x v="128"/>
    <x v="124"/>
    <d v="2014-05-27T00:00:00"/>
    <x v="3"/>
    <s v="MH-17785"/>
    <s v="Maya Herman"/>
    <x v="1"/>
    <s v="United States"/>
    <x v="53"/>
    <x v="2"/>
    <x v="1"/>
    <s v="FUR-TA-10002607"/>
    <s v="Furniture"/>
    <x v="2"/>
    <s v="KI Conference Tables"/>
    <n v="567.12"/>
    <n v="10"/>
    <n v="-28.356000000000002"/>
    <x v="7"/>
    <x v="7"/>
  </r>
  <r>
    <x v="129"/>
    <x v="125"/>
    <d v="2017-10-06T00:00:00"/>
    <x v="1"/>
    <s v="RF-19735"/>
    <s v="Roland Fjeld"/>
    <x v="0"/>
    <s v="United States"/>
    <x v="65"/>
    <x v="17"/>
    <x v="3"/>
    <s v="FUR-FU-10003577"/>
    <s v="Furniture"/>
    <x v="3"/>
    <s v="Nu-Dell Leatherette Frames"/>
    <n v="157.74"/>
    <n v="11"/>
    <n v="56.7864"/>
    <x v="4"/>
    <x v="1"/>
  </r>
  <r>
    <x v="130"/>
    <x v="88"/>
    <d v="2015-12-12T00:00:00"/>
    <x v="1"/>
    <s v="MS-17830"/>
    <s v="Melanie Seite"/>
    <x v="0"/>
    <s v="United States"/>
    <x v="2"/>
    <x v="2"/>
    <x v="1"/>
    <s v="FUR-FU-10002759"/>
    <s v="Furniture"/>
    <x v="3"/>
    <s v="12-1/2 Diameter Round Wall Clock"/>
    <n v="79.92"/>
    <n v="4"/>
    <n v="28.7712"/>
    <x v="2"/>
    <x v="5"/>
  </r>
  <r>
    <x v="131"/>
    <x v="126"/>
    <d v="2016-09-22T00:00:00"/>
    <x v="1"/>
    <s v="NB-18655"/>
    <s v="Nona Balk"/>
    <x v="1"/>
    <s v="United States"/>
    <x v="51"/>
    <x v="1"/>
    <x v="0"/>
    <s v="FUR-TA-10001095"/>
    <s v="Furniture"/>
    <x v="2"/>
    <s v="Chromcraft Round Conference Tables"/>
    <n v="383.43799999999999"/>
    <n v="4"/>
    <n v="-167.3184"/>
    <x v="4"/>
    <x v="4"/>
  </r>
  <r>
    <x v="132"/>
    <x v="127"/>
    <d v="2014-05-20T00:00:00"/>
    <x v="1"/>
    <s v="AJ-10795"/>
    <s v="Anthony Johnson"/>
    <x v="1"/>
    <s v="United States"/>
    <x v="66"/>
    <x v="1"/>
    <x v="0"/>
    <s v="FUR-FU-10004306"/>
    <s v="Furniture"/>
    <x v="3"/>
    <s v="Electrix Halogen Magnifier Lamp"/>
    <n v="310.88"/>
    <n v="2"/>
    <n v="23.315999999999999"/>
    <x v="6"/>
    <x v="7"/>
  </r>
  <r>
    <x v="133"/>
    <x v="128"/>
    <d v="2016-05-24T00:00:00"/>
    <x v="1"/>
    <s v="LE-16810"/>
    <s v="Laurel Elliston"/>
    <x v="0"/>
    <s v="United States"/>
    <x v="58"/>
    <x v="25"/>
    <x v="0"/>
    <s v="FUR-CH-10003746"/>
    <s v="Furniture"/>
    <x v="1"/>
    <s v="Hon 4070 Series Pagoda Round Back Stacking Chairs"/>
    <n v="641.96"/>
    <n v="2"/>
    <n v="179.74879999999999"/>
    <x v="2"/>
    <x v="7"/>
  </r>
  <r>
    <x v="134"/>
    <x v="129"/>
    <d v="2017-02-05T00:00:00"/>
    <x v="1"/>
    <s v="BV-11245"/>
    <s v="Benjamin Venier"/>
    <x v="1"/>
    <s v="United States"/>
    <x v="67"/>
    <x v="26"/>
    <x v="3"/>
    <s v="FUR-FU-10002597"/>
    <s v="Furniture"/>
    <x v="3"/>
    <s v="C-Line Magnetic Cubicle Keepers, Clear Polypropylene"/>
    <n v="34.58"/>
    <n v="7"/>
    <n v="14.5236"/>
    <x v="6"/>
    <x v="8"/>
  </r>
  <r>
    <x v="135"/>
    <x v="130"/>
    <d v="2015-08-23T00:00:00"/>
    <x v="2"/>
    <s v="NZ-18565"/>
    <s v="Nick Zandusky"/>
    <x v="2"/>
    <s v="United States"/>
    <x v="28"/>
    <x v="2"/>
    <x v="1"/>
    <s v="FUR-CH-10002335"/>
    <s v="Furniture"/>
    <x v="1"/>
    <s v="Hon GuestStacker Chair"/>
    <n v="544.00800000000004"/>
    <n v="3"/>
    <n v="40.800600000000003"/>
    <x v="3"/>
    <x v="10"/>
  </r>
  <r>
    <x v="136"/>
    <x v="131"/>
    <d v="2015-10-06T00:00:00"/>
    <x v="0"/>
    <s v="BM-11785"/>
    <s v="Bryan Mills"/>
    <x v="0"/>
    <s v="United States"/>
    <x v="29"/>
    <x v="15"/>
    <x v="2"/>
    <s v="FUR-BO-10004409"/>
    <s v="Furniture"/>
    <x v="0"/>
    <s v="Safco Value Mate Series Steel Bookcases, Baked Enamel Finish on Steel, Gray"/>
    <n v="35.49"/>
    <n v="1"/>
    <n v="-15.615600000000001"/>
    <x v="0"/>
    <x v="1"/>
  </r>
  <r>
    <x v="137"/>
    <x v="132"/>
    <d v="2015-12-16T00:00:00"/>
    <x v="1"/>
    <s v="LT-17110"/>
    <s v="Liz Thompson"/>
    <x v="0"/>
    <s v="United States"/>
    <x v="68"/>
    <x v="2"/>
    <x v="1"/>
    <s v="FUR-CH-10004675"/>
    <s v="Furniture"/>
    <x v="1"/>
    <s v="Lifetime Advantage Folding Chairs, 4/Carton"/>
    <n v="348.928"/>
    <n v="2"/>
    <n v="34.892800000000001"/>
    <x v="4"/>
    <x v="5"/>
  </r>
  <r>
    <x v="138"/>
    <x v="133"/>
    <d v="2015-06-30T00:00:00"/>
    <x v="1"/>
    <s v="SA-20830"/>
    <s v="Sue Ann Reed"/>
    <x v="0"/>
    <s v="United States"/>
    <x v="52"/>
    <x v="25"/>
    <x v="0"/>
    <s v="FUR-CH-10003199"/>
    <s v="Furniture"/>
    <x v="1"/>
    <s v="Office Star - Contemporary Task Swivel Chair"/>
    <n v="332.94"/>
    <n v="3"/>
    <n v="79.905600000000007"/>
    <x v="4"/>
    <x v="2"/>
  </r>
  <r>
    <x v="139"/>
    <x v="61"/>
    <d v="2015-12-03T00:00:00"/>
    <x v="1"/>
    <s v="CD-11920"/>
    <s v="Carlos Daly"/>
    <x v="0"/>
    <s v="United States"/>
    <x v="69"/>
    <x v="2"/>
    <x v="1"/>
    <s v="FUR-CH-10002647"/>
    <s v="Furniture"/>
    <x v="1"/>
    <s v="Situations Contoured Folding Chairs, 4/Set"/>
    <n v="283.92"/>
    <n v="5"/>
    <n v="17.745000000000001"/>
    <x v="6"/>
    <x v="0"/>
  </r>
  <r>
    <x v="140"/>
    <x v="134"/>
    <d v="2017-02-23T00:00:00"/>
    <x v="2"/>
    <s v="HW-14935"/>
    <s v="Helen Wasserman"/>
    <x v="1"/>
    <s v="United States"/>
    <x v="53"/>
    <x v="2"/>
    <x v="1"/>
    <s v="FUR-FU-10004090"/>
    <s v="Furniture"/>
    <x v="3"/>
    <s v="Executive Impressions 14&quot; Contract Wall Clock"/>
    <n v="22.23"/>
    <n v="1"/>
    <n v="7.3358999999999996"/>
    <x v="0"/>
    <x v="11"/>
  </r>
  <r>
    <x v="141"/>
    <x v="135"/>
    <d v="2017-04-24T00:00:00"/>
    <x v="2"/>
    <s v="GM-14440"/>
    <s v="Gary McGarr"/>
    <x v="0"/>
    <s v="United States"/>
    <x v="28"/>
    <x v="2"/>
    <x v="1"/>
    <s v="FUR-FU-10000794"/>
    <s v="Furniture"/>
    <x v="3"/>
    <s v="Eldon Stackable Tray, Side-Load, Legal, Smoke"/>
    <n v="18.28"/>
    <n v="2"/>
    <n v="6.2152000000000003"/>
    <x v="3"/>
    <x v="6"/>
  </r>
  <r>
    <x v="142"/>
    <x v="136"/>
    <d v="2015-02-05T00:00:00"/>
    <x v="2"/>
    <s v="AA-10375"/>
    <s v="Allen Armold"/>
    <x v="0"/>
    <s v="United States"/>
    <x v="70"/>
    <x v="27"/>
    <x v="3"/>
    <s v="FUR-FU-10003347"/>
    <s v="Furniture"/>
    <x v="3"/>
    <s v="Coloredge Poster Frame"/>
    <n v="28.4"/>
    <n v="2"/>
    <n v="11.076000000000001"/>
    <x v="3"/>
    <x v="11"/>
  </r>
  <r>
    <x v="143"/>
    <x v="137"/>
    <d v="2014-10-15T00:00:00"/>
    <x v="2"/>
    <s v="ZC-21910"/>
    <s v="Zuschuss Carroll"/>
    <x v="0"/>
    <s v="United States"/>
    <x v="71"/>
    <x v="13"/>
    <x v="1"/>
    <s v="FUR-TA-10002903"/>
    <s v="Furniture"/>
    <x v="2"/>
    <s v="Bevis Round Bullnose 29&quot; High Table Top"/>
    <n v="1298.55"/>
    <n v="5"/>
    <n v="311.65199999999999"/>
    <x v="3"/>
    <x v="1"/>
  </r>
  <r>
    <x v="144"/>
    <x v="138"/>
    <d v="2017-05-14T00:00:00"/>
    <x v="3"/>
    <s v="PJ-19015"/>
    <s v="Pauline Johnson"/>
    <x v="0"/>
    <s v="United States"/>
    <x v="72"/>
    <x v="2"/>
    <x v="1"/>
    <s v="FUR-FU-10000794"/>
    <s v="Furniture"/>
    <x v="3"/>
    <s v="Eldon Stackable Tray, Side-Load, Legal, Smoke"/>
    <n v="18.28"/>
    <n v="2"/>
    <n v="6.2152000000000003"/>
    <x v="7"/>
    <x v="7"/>
  </r>
  <r>
    <x v="145"/>
    <x v="139"/>
    <d v="2014-07-02T00:00:00"/>
    <x v="1"/>
    <s v="CA-12775"/>
    <s v="Cynthia Arntzen"/>
    <x v="0"/>
    <s v="United States"/>
    <x v="3"/>
    <x v="3"/>
    <x v="2"/>
    <s v="FUR-CH-10001394"/>
    <s v="Furniture"/>
    <x v="1"/>
    <s v="Global Leather Executive Chair"/>
    <n v="1228.4649999999999"/>
    <n v="5"/>
    <n v="0"/>
    <x v="4"/>
    <x v="2"/>
  </r>
  <r>
    <x v="146"/>
    <x v="140"/>
    <d v="2017-06-21T00:00:00"/>
    <x v="0"/>
    <s v="JE-15745"/>
    <s v="Joel Eaton"/>
    <x v="0"/>
    <s v="United States"/>
    <x v="73"/>
    <x v="0"/>
    <x v="0"/>
    <s v="FUR-CH-10000665"/>
    <s v="Furniture"/>
    <x v="1"/>
    <s v="Global Airflow Leather Mesh Back Chair, Black"/>
    <n v="301.95999999999998"/>
    <n v="2"/>
    <n v="90.587999999999994"/>
    <x v="2"/>
    <x v="2"/>
  </r>
  <r>
    <x v="147"/>
    <x v="141"/>
    <d v="2015-11-25T00:00:00"/>
    <x v="1"/>
    <s v="BM-11650"/>
    <s v="Brian Moss"/>
    <x v="1"/>
    <s v="United States"/>
    <x v="13"/>
    <x v="7"/>
    <x v="2"/>
    <s v="FUR-BO-10001519"/>
    <s v="Furniture"/>
    <x v="0"/>
    <s v="O'Sullivan 3-Shelf Heavy-Duty Bookcases"/>
    <n v="186.048"/>
    <n v="4"/>
    <n v="9.3024000000000004"/>
    <x v="2"/>
    <x v="0"/>
  </r>
  <r>
    <x v="148"/>
    <x v="142"/>
    <d v="2015-10-17T00:00:00"/>
    <x v="1"/>
    <s v="AF-10885"/>
    <s v="Art Foster"/>
    <x v="0"/>
    <s v="United States"/>
    <x v="74"/>
    <x v="0"/>
    <x v="0"/>
    <s v="FUR-CH-10001891"/>
    <s v="Furniture"/>
    <x v="1"/>
    <s v="Global Deluxe Office Fabric Chairs"/>
    <n v="287.94"/>
    <n v="3"/>
    <n v="77.743799999999993"/>
    <x v="4"/>
    <x v="1"/>
  </r>
  <r>
    <x v="149"/>
    <x v="143"/>
    <d v="2017-01-06T00:00:00"/>
    <x v="1"/>
    <s v="GA-14725"/>
    <s v="Guy Armstrong"/>
    <x v="0"/>
    <s v="United States"/>
    <x v="75"/>
    <x v="15"/>
    <x v="2"/>
    <s v="FUR-FU-10003878"/>
    <s v="Furniture"/>
    <x v="3"/>
    <s v="Linden 10&quot; Round Wall Clock, Black"/>
    <n v="48.896000000000001"/>
    <n v="4"/>
    <n v="8.5568000000000008"/>
    <x v="2"/>
    <x v="8"/>
  </r>
  <r>
    <x v="150"/>
    <x v="144"/>
    <d v="2016-02-24T00:00:00"/>
    <x v="1"/>
    <s v="GT-14710"/>
    <s v="Greg Tran"/>
    <x v="0"/>
    <s v="United States"/>
    <x v="13"/>
    <x v="7"/>
    <x v="2"/>
    <s v="FUR-FU-10004090"/>
    <s v="Furniture"/>
    <x v="3"/>
    <s v="Executive Impressions 14&quot; Contract Wall Clock"/>
    <n v="44.46"/>
    <n v="2"/>
    <n v="14.671799999999999"/>
    <x v="2"/>
    <x v="11"/>
  </r>
  <r>
    <x v="151"/>
    <x v="145"/>
    <d v="2014-01-15T00:00:00"/>
    <x v="1"/>
    <s v="AJ-10780"/>
    <s v="Anthony Jacobs"/>
    <x v="1"/>
    <s v="United States"/>
    <x v="76"/>
    <x v="25"/>
    <x v="0"/>
    <s v="FUR-FU-10000965"/>
    <s v="Furniture"/>
    <x v="3"/>
    <s v="Howard Miller 11-1/2&quot; Diameter Ridgewood Wall Clock"/>
    <n v="51.94"/>
    <n v="1"/>
    <n v="21.295400000000001"/>
    <x v="2"/>
    <x v="8"/>
  </r>
  <r>
    <x v="152"/>
    <x v="146"/>
    <d v="2016-01-21T00:00:00"/>
    <x v="1"/>
    <s v="CC-12430"/>
    <s v="Chuck Clark"/>
    <x v="2"/>
    <s v="United States"/>
    <x v="41"/>
    <x v="28"/>
    <x v="2"/>
    <s v="FUR-FU-10004017"/>
    <s v="Furniture"/>
    <x v="3"/>
    <s v="Tenex Contemporary Contur Chairmats for Low and Medium Pile Carpet, Computer, 39&quot; x 49&quot;"/>
    <n v="322.58999999999997"/>
    <n v="3"/>
    <n v="64.518000000000001"/>
    <x v="4"/>
    <x v="8"/>
  </r>
  <r>
    <x v="153"/>
    <x v="147"/>
    <d v="2017-12-02T00:00:00"/>
    <x v="0"/>
    <s v="HP-14815"/>
    <s v="Harold Pawlan"/>
    <x v="2"/>
    <s v="United States"/>
    <x v="13"/>
    <x v="7"/>
    <x v="2"/>
    <s v="FUR-CH-10004287"/>
    <s v="Furniture"/>
    <x v="1"/>
    <s v="SAFCO Arco Folding Chair"/>
    <n v="1242.9000000000001"/>
    <n v="5"/>
    <n v="262.39"/>
    <x v="3"/>
    <x v="0"/>
  </r>
  <r>
    <x v="154"/>
    <x v="148"/>
    <d v="2016-10-24T00:00:00"/>
    <x v="2"/>
    <s v="PM-19135"/>
    <s v="Peter McVee"/>
    <x v="2"/>
    <s v="United States"/>
    <x v="25"/>
    <x v="17"/>
    <x v="3"/>
    <s v="FUR-FU-10000732"/>
    <s v="Furniture"/>
    <x v="3"/>
    <s v="Eldon 200 Class Desk Accessories"/>
    <n v="31.4"/>
    <n v="5"/>
    <n v="10.048"/>
    <x v="3"/>
    <x v="1"/>
  </r>
  <r>
    <x v="155"/>
    <x v="149"/>
    <d v="2014-05-04T00:00:00"/>
    <x v="1"/>
    <s v="LL-16840"/>
    <s v="Lauren Leatherbury"/>
    <x v="0"/>
    <s v="United States"/>
    <x v="77"/>
    <x v="7"/>
    <x v="2"/>
    <s v="FUR-FU-10001424"/>
    <s v="Furniture"/>
    <x v="3"/>
    <s v="Dax Clear Box Frame"/>
    <n v="17.46"/>
    <n v="2"/>
    <n v="5.9363999999999999"/>
    <x v="2"/>
    <x v="6"/>
  </r>
  <r>
    <x v="156"/>
    <x v="150"/>
    <d v="2018-01-03T00:00:00"/>
    <x v="1"/>
    <s v="PO-18865"/>
    <s v="Patrick O'Donnell"/>
    <x v="0"/>
    <s v="United States"/>
    <x v="13"/>
    <x v="7"/>
    <x v="2"/>
    <s v="FUR-BO-10003441"/>
    <s v="Furniture"/>
    <x v="0"/>
    <s v="Bush Westfield Collection Bookcases, Fully Assembled"/>
    <n v="323.13600000000002"/>
    <n v="4"/>
    <n v="12.117599999999999"/>
    <x v="4"/>
    <x v="5"/>
  </r>
  <r>
    <x v="157"/>
    <x v="151"/>
    <d v="2015-06-07T00:00:00"/>
    <x v="1"/>
    <s v="SC-20050"/>
    <s v="Sample Company A"/>
    <x v="2"/>
    <s v="United States"/>
    <x v="78"/>
    <x v="19"/>
    <x v="2"/>
    <s v="FUR-FU-10001935"/>
    <s v="Furniture"/>
    <x v="3"/>
    <s v="3M Hangers With Command Adhesive"/>
    <n v="22.2"/>
    <n v="6"/>
    <n v="9.1020000000000003"/>
    <x v="1"/>
    <x v="7"/>
  </r>
  <r>
    <x v="158"/>
    <x v="152"/>
    <d v="2017-11-29T00:00:00"/>
    <x v="2"/>
    <s v="BM-11650"/>
    <s v="Brian Moss"/>
    <x v="1"/>
    <s v="United States"/>
    <x v="79"/>
    <x v="16"/>
    <x v="3"/>
    <s v="FUR-FU-10004091"/>
    <s v="Furniture"/>
    <x v="3"/>
    <s v="Howard Miller 13&quot; Diameter Goldtone Round Wall Clock"/>
    <n v="46.94"/>
    <n v="1"/>
    <n v="19.2454"/>
    <x v="3"/>
    <x v="0"/>
  </r>
  <r>
    <x v="159"/>
    <x v="153"/>
    <d v="2014-06-21T00:00:00"/>
    <x v="1"/>
    <s v="KL-16555"/>
    <s v="Kelly Lampkin"/>
    <x v="1"/>
    <s v="United States"/>
    <x v="21"/>
    <x v="5"/>
    <x v="3"/>
    <s v="FUR-TA-10001520"/>
    <s v="Furniture"/>
    <x v="2"/>
    <s v="Lesro Sheffield Collection Coffee Table, End Table, Center Table, Corner Table"/>
    <n v="99.918000000000006"/>
    <n v="2"/>
    <n v="-18.5562"/>
    <x v="6"/>
    <x v="2"/>
  </r>
  <r>
    <x v="159"/>
    <x v="153"/>
    <d v="2014-06-21T00:00:00"/>
    <x v="1"/>
    <s v="KL-16555"/>
    <s v="Kelly Lampkin"/>
    <x v="1"/>
    <s v="United States"/>
    <x v="21"/>
    <x v="5"/>
    <x v="3"/>
    <s v="FUR-CH-10003379"/>
    <s v="Furniture"/>
    <x v="1"/>
    <s v="Global Commerce Series High-Back Swivel/Tilt Chairs"/>
    <n v="797.94399999999996"/>
    <n v="4"/>
    <n v="-56.996000000000002"/>
    <x v="6"/>
    <x v="2"/>
  </r>
  <r>
    <x v="160"/>
    <x v="154"/>
    <d v="2016-12-20T00:00:00"/>
    <x v="1"/>
    <s v="RW-19630"/>
    <s v="Rob Williams"/>
    <x v="1"/>
    <s v="United States"/>
    <x v="80"/>
    <x v="2"/>
    <x v="1"/>
    <s v="FUR-TA-10000577"/>
    <s v="Furniture"/>
    <x v="2"/>
    <s v="Bretford CR4500 Series Slim Rectangular Table"/>
    <n v="1114.2719999999999"/>
    <n v="4"/>
    <n v="41.785200000000003"/>
    <x v="1"/>
    <x v="5"/>
  </r>
  <r>
    <x v="161"/>
    <x v="155"/>
    <d v="2015-07-28T00:00:00"/>
    <x v="2"/>
    <s v="CA-12775"/>
    <s v="Cynthia Arntzen"/>
    <x v="0"/>
    <s v="United States"/>
    <x v="81"/>
    <x v="22"/>
    <x v="1"/>
    <s v="FUR-TA-10002356"/>
    <s v="Furniture"/>
    <x v="2"/>
    <s v="Bevis Boat-Shaped Conference Table"/>
    <n v="393.16500000000002"/>
    <n v="3"/>
    <n v="-204.44579999999999"/>
    <x v="3"/>
    <x v="3"/>
  </r>
  <r>
    <x v="162"/>
    <x v="156"/>
    <d v="2017-12-02T00:00:00"/>
    <x v="1"/>
    <s v="RB-19795"/>
    <s v="Ross Baird"/>
    <x v="2"/>
    <s v="United States"/>
    <x v="3"/>
    <x v="3"/>
    <x v="2"/>
    <s v="FUR-FU-10003601"/>
    <s v="Furniture"/>
    <x v="3"/>
    <s v="Deflect-o RollaMat Studded, Beveled Mat for Medium Pile Carpeting"/>
    <n v="516.48800000000006"/>
    <n v="7"/>
    <n v="-12.9122"/>
    <x v="4"/>
    <x v="0"/>
  </r>
  <r>
    <x v="162"/>
    <x v="156"/>
    <d v="2017-12-02T00:00:00"/>
    <x v="1"/>
    <s v="RB-19795"/>
    <s v="Ross Baird"/>
    <x v="2"/>
    <s v="United States"/>
    <x v="3"/>
    <x v="3"/>
    <x v="2"/>
    <s v="FUR-FU-10000576"/>
    <s v="Furniture"/>
    <x v="3"/>
    <s v="Luxo Professional Fluorescent Magnifier Lamp with Clamp-Mount Base"/>
    <n v="1007.232"/>
    <n v="6"/>
    <n v="75.542400000000001"/>
    <x v="4"/>
    <x v="0"/>
  </r>
  <r>
    <x v="162"/>
    <x v="156"/>
    <d v="2017-12-02T00:00:00"/>
    <x v="1"/>
    <s v="RB-19795"/>
    <s v="Ross Baird"/>
    <x v="2"/>
    <s v="United States"/>
    <x v="3"/>
    <x v="3"/>
    <x v="2"/>
    <s v="FUR-TA-10004154"/>
    <s v="Furniture"/>
    <x v="2"/>
    <s v="Riverside Furniture Oval Coffee Table, Oval End Table, End Table with Drawer"/>
    <n v="2065.3200000000002"/>
    <n v="12"/>
    <n v="-619.596"/>
    <x v="4"/>
    <x v="0"/>
  </r>
  <r>
    <x v="163"/>
    <x v="157"/>
    <d v="2017-04-07T00:00:00"/>
    <x v="1"/>
    <s v="KH-16360"/>
    <s v="Katherine Hughes"/>
    <x v="0"/>
    <s v="United States"/>
    <x v="3"/>
    <x v="3"/>
    <x v="2"/>
    <s v="FUR-FU-10001940"/>
    <s v="Furniture"/>
    <x v="3"/>
    <s v="Staple-based wall hangings"/>
    <n v="25.472000000000001"/>
    <n v="4"/>
    <n v="7.6416000000000004"/>
    <x v="4"/>
    <x v="6"/>
  </r>
  <r>
    <x v="164"/>
    <x v="158"/>
    <d v="2018-01-01T00:00:00"/>
    <x v="1"/>
    <s v="GH-14665"/>
    <s v="Greg Hansen"/>
    <x v="0"/>
    <s v="United States"/>
    <x v="82"/>
    <x v="5"/>
    <x v="3"/>
    <s v="FUR-BO-10004709"/>
    <s v="Furniture"/>
    <x v="0"/>
    <s v="Bush Westfield Collection Bookcases, Medium Cherry Finish"/>
    <n v="78.852800000000002"/>
    <n v="2"/>
    <n v="-11.596"/>
    <x v="4"/>
    <x v="5"/>
  </r>
  <r>
    <x v="165"/>
    <x v="159"/>
    <d v="2015-09-22T00:00:00"/>
    <x v="3"/>
    <s v="DL-12925"/>
    <s v="Daniel Lacy"/>
    <x v="0"/>
    <s v="United States"/>
    <x v="64"/>
    <x v="2"/>
    <x v="1"/>
    <s v="FUR-FU-10004188"/>
    <s v="Furniture"/>
    <x v="3"/>
    <s v="Luxo Professional Combination Clamp-On Lamps"/>
    <n v="204.6"/>
    <n v="2"/>
    <n v="53.195999999999998"/>
    <x v="7"/>
    <x v="4"/>
  </r>
  <r>
    <x v="166"/>
    <x v="160"/>
    <d v="2017-11-19T00:00:00"/>
    <x v="1"/>
    <s v="LW-16990"/>
    <s v="Lindsay Williams"/>
    <x v="1"/>
    <s v="United States"/>
    <x v="28"/>
    <x v="2"/>
    <x v="1"/>
    <s v="FUR-CH-10002965"/>
    <s v="Furniture"/>
    <x v="1"/>
    <s v="Global Leather Highback Executive Chair with Pneumatic Height Adjustment, Black"/>
    <n v="321.56799999999998"/>
    <n v="2"/>
    <n v="28.1372"/>
    <x v="2"/>
    <x v="0"/>
  </r>
  <r>
    <x v="167"/>
    <x v="161"/>
    <d v="2014-01-18T00:00:00"/>
    <x v="0"/>
    <s v="DL-13315"/>
    <s v="Delfina Latchford"/>
    <x v="0"/>
    <s v="United States"/>
    <x v="3"/>
    <x v="3"/>
    <x v="2"/>
    <s v="FUR-FU-10001095"/>
    <s v="Furniture"/>
    <x v="3"/>
    <s v="DAX Black Cherry Wood-Tone Poster Frame"/>
    <n v="127.104"/>
    <n v="6"/>
    <n v="28.598400000000002"/>
    <x v="3"/>
    <x v="8"/>
  </r>
  <r>
    <x v="168"/>
    <x v="162"/>
    <d v="2016-10-08T00:00:00"/>
    <x v="1"/>
    <s v="EB-13870"/>
    <s v="Emily Burns"/>
    <x v="0"/>
    <s v="United States"/>
    <x v="13"/>
    <x v="7"/>
    <x v="2"/>
    <s v="FUR-CH-10003199"/>
    <s v="Furniture"/>
    <x v="1"/>
    <s v="Office Star - Contemporary Task Swivel Chair"/>
    <n v="599.29200000000003"/>
    <n v="6"/>
    <n v="93.223200000000006"/>
    <x v="2"/>
    <x v="1"/>
  </r>
  <r>
    <x v="169"/>
    <x v="163"/>
    <d v="2014-11-14T00:00:00"/>
    <x v="0"/>
    <s v="TZ-21580"/>
    <s v="Tracy Zic"/>
    <x v="0"/>
    <s v="United States"/>
    <x v="74"/>
    <x v="12"/>
    <x v="1"/>
    <s v="FUR-CH-10000665"/>
    <s v="Furniture"/>
    <x v="1"/>
    <s v="Global Airflow Leather Mesh Back Chair, Black"/>
    <n v="603.91999999999996"/>
    <n v="5"/>
    <n v="75.489999999999995"/>
    <x v="0"/>
    <x v="0"/>
  </r>
  <r>
    <x v="170"/>
    <x v="164"/>
    <d v="2017-05-26T00:00:00"/>
    <x v="1"/>
    <s v="JG-15805"/>
    <s v="John Grady"/>
    <x v="1"/>
    <s v="United States"/>
    <x v="83"/>
    <x v="7"/>
    <x v="2"/>
    <s v="FUR-FU-10004071"/>
    <s v="Furniture"/>
    <x v="3"/>
    <s v="Luxo Professional Magnifying Clamp-On Fluorescent Lamps"/>
    <n v="520.04999999999995"/>
    <n v="5"/>
    <n v="72.807000000000002"/>
    <x v="2"/>
    <x v="7"/>
  </r>
  <r>
    <x v="171"/>
    <x v="165"/>
    <d v="2015-03-31T00:00:00"/>
    <x v="0"/>
    <s v="SL-20155"/>
    <s v="Sara Luxemburg"/>
    <x v="2"/>
    <s v="United States"/>
    <x v="51"/>
    <x v="1"/>
    <x v="0"/>
    <s v="FUR-CH-10004086"/>
    <s v="Furniture"/>
    <x v="1"/>
    <s v="Hon 4070 Series Pagoda Armless Upholstered Stacking Chairs"/>
    <n v="1166.92"/>
    <n v="5"/>
    <n v="131.27850000000001"/>
    <x v="3"/>
    <x v="9"/>
  </r>
  <r>
    <x v="172"/>
    <x v="166"/>
    <d v="2015-11-03T00:00:00"/>
    <x v="1"/>
    <s v="RD-19585"/>
    <s v="Rob Dowd"/>
    <x v="0"/>
    <s v="United States"/>
    <x v="0"/>
    <x v="0"/>
    <x v="0"/>
    <s v="FUR-FU-10002885"/>
    <s v="Furniture"/>
    <x v="3"/>
    <s v="Magna Visual Magnetic Picture Hangers"/>
    <n v="24.1"/>
    <n v="5"/>
    <n v="9.1579999999999995"/>
    <x v="6"/>
    <x v="1"/>
  </r>
  <r>
    <x v="172"/>
    <x v="166"/>
    <d v="2015-11-03T00:00:00"/>
    <x v="1"/>
    <s v="RD-19585"/>
    <s v="Rob Dowd"/>
    <x v="0"/>
    <s v="United States"/>
    <x v="0"/>
    <x v="0"/>
    <x v="0"/>
    <s v="FUR-FU-10001918"/>
    <s v="Furniture"/>
    <x v="3"/>
    <s v="C-Line Cubicle Keepers Polyproplyene Holder With Velcro Backings"/>
    <n v="33.11"/>
    <n v="7"/>
    <n v="12.9129"/>
    <x v="6"/>
    <x v="1"/>
  </r>
  <r>
    <x v="173"/>
    <x v="167"/>
    <d v="2015-07-31T00:00:00"/>
    <x v="3"/>
    <s v="RH-19495"/>
    <s v="Rick Hansen"/>
    <x v="0"/>
    <s v="United States"/>
    <x v="13"/>
    <x v="7"/>
    <x v="2"/>
    <s v="FUR-TA-10002903"/>
    <s v="Furniture"/>
    <x v="2"/>
    <s v="Bevis Round Bullnose 29&quot; High Table Top"/>
    <n v="1090.7819999999999"/>
    <n v="7"/>
    <n v="-290.87520000000001"/>
    <x v="7"/>
    <x v="3"/>
  </r>
  <r>
    <x v="174"/>
    <x v="168"/>
    <d v="2014-11-26T00:00:00"/>
    <x v="2"/>
    <s v="VG-21790"/>
    <s v="Vivek Gonzalez"/>
    <x v="0"/>
    <s v="United States"/>
    <x v="53"/>
    <x v="2"/>
    <x v="1"/>
    <s v="FUR-FU-10001602"/>
    <s v="Furniture"/>
    <x v="3"/>
    <s v="Eldon Delta Triangular Chair Mat, 52&quot; x 58&quot;, Clear"/>
    <n v="151.72"/>
    <n v="4"/>
    <n v="27.3096"/>
    <x v="3"/>
    <x v="0"/>
  </r>
  <r>
    <x v="175"/>
    <x v="169"/>
    <d v="2017-06-21T00:00:00"/>
    <x v="0"/>
    <s v="PF-19165"/>
    <s v="Philip Fox"/>
    <x v="0"/>
    <s v="United States"/>
    <x v="84"/>
    <x v="13"/>
    <x v="1"/>
    <s v="FUR-FU-10004848"/>
    <s v="Furniture"/>
    <x v="3"/>
    <s v="Howard Miller 13-3/4&quot; Diameter Brushed Chrome Round Wall Clock"/>
    <n v="155.25"/>
    <n v="3"/>
    <n v="46.575000000000003"/>
    <x v="4"/>
    <x v="2"/>
  </r>
  <r>
    <x v="176"/>
    <x v="170"/>
    <d v="2015-12-24T00:00:00"/>
    <x v="0"/>
    <s v="JS-15880"/>
    <s v="John Stevenson"/>
    <x v="0"/>
    <s v="United States"/>
    <x v="15"/>
    <x v="13"/>
    <x v="1"/>
    <s v="FUR-TA-10003748"/>
    <s v="Furniture"/>
    <x v="2"/>
    <s v="Bevis 36 x 72 Conference Tables"/>
    <n v="1618.37"/>
    <n v="13"/>
    <n v="356.04140000000001"/>
    <x v="0"/>
    <x v="5"/>
  </r>
  <r>
    <x v="177"/>
    <x v="171"/>
    <d v="2015-07-10T00:00:00"/>
    <x v="1"/>
    <s v="KM-16225"/>
    <s v="Kalyca Meade"/>
    <x v="1"/>
    <s v="United States"/>
    <x v="13"/>
    <x v="7"/>
    <x v="2"/>
    <s v="FUR-FU-10002191"/>
    <s v="Furniture"/>
    <x v="3"/>
    <s v="G.E. Halogen Desk Lamp Bulbs"/>
    <n v="13.96"/>
    <n v="2"/>
    <n v="6.7008000000000001"/>
    <x v="4"/>
    <x v="3"/>
  </r>
  <r>
    <x v="177"/>
    <x v="171"/>
    <d v="2015-07-10T00:00:00"/>
    <x v="1"/>
    <s v="KM-16225"/>
    <s v="Kalyca Meade"/>
    <x v="1"/>
    <s v="United States"/>
    <x v="13"/>
    <x v="7"/>
    <x v="2"/>
    <s v="FUR-FU-10000965"/>
    <s v="Furniture"/>
    <x v="3"/>
    <s v="Howard Miller 11-1/2&quot; Diameter Ridgewood Wall Clock"/>
    <n v="155.82"/>
    <n v="3"/>
    <n v="63.886200000000002"/>
    <x v="4"/>
    <x v="3"/>
  </r>
  <r>
    <x v="178"/>
    <x v="172"/>
    <d v="2015-05-03T00:00:00"/>
    <x v="1"/>
    <s v="GT-14710"/>
    <s v="Greg Tran"/>
    <x v="0"/>
    <s v="United States"/>
    <x v="85"/>
    <x v="29"/>
    <x v="2"/>
    <s v="FUR-CH-10000309"/>
    <s v="Furniture"/>
    <x v="1"/>
    <s v="Global Comet Stacking Arm Chair"/>
    <n v="1267.53"/>
    <n v="3"/>
    <n v="316.88249999999999"/>
    <x v="6"/>
    <x v="6"/>
  </r>
  <r>
    <x v="179"/>
    <x v="173"/>
    <d v="2014-07-15T00:00:00"/>
    <x v="1"/>
    <s v="LA-16780"/>
    <s v="Laura Armstrong"/>
    <x v="1"/>
    <s v="United States"/>
    <x v="33"/>
    <x v="18"/>
    <x v="2"/>
    <s v="FUR-CH-10003379"/>
    <s v="Furniture"/>
    <x v="1"/>
    <s v="Global Commerce Series High-Back Swivel/Tilt Chairs"/>
    <n v="854.94"/>
    <n v="3"/>
    <n v="213.73500000000001"/>
    <x v="4"/>
    <x v="3"/>
  </r>
  <r>
    <x v="179"/>
    <x v="173"/>
    <d v="2014-07-15T00:00:00"/>
    <x v="1"/>
    <s v="LA-16780"/>
    <s v="Laura Armstrong"/>
    <x v="1"/>
    <s v="United States"/>
    <x v="33"/>
    <x v="18"/>
    <x v="2"/>
    <s v="FUR-FU-10000629"/>
    <s v="Furniture"/>
    <x v="3"/>
    <s v="9-3/4 Diameter Round Wall Clock"/>
    <n v="124.11"/>
    <n v="9"/>
    <n v="52.126199999999997"/>
    <x v="4"/>
    <x v="3"/>
  </r>
  <r>
    <x v="180"/>
    <x v="74"/>
    <d v="2016-04-26T00:00:00"/>
    <x v="1"/>
    <s v="EL-13735"/>
    <s v="Ed Ludwig"/>
    <x v="2"/>
    <s v="United States"/>
    <x v="86"/>
    <x v="23"/>
    <x v="3"/>
    <s v="FUR-FU-10003975"/>
    <s v="Furniture"/>
    <x v="3"/>
    <s v="Eldon Advantage Chair Mats for Low to Medium Pile Carpets"/>
    <n v="86.62"/>
    <n v="2"/>
    <n v="8.6620000000000008"/>
    <x v="4"/>
    <x v="6"/>
  </r>
  <r>
    <x v="181"/>
    <x v="174"/>
    <d v="2016-03-24T00:00:00"/>
    <x v="1"/>
    <s v="RD-19660"/>
    <s v="Robert Dilbeck"/>
    <x v="2"/>
    <s v="United States"/>
    <x v="87"/>
    <x v="23"/>
    <x v="3"/>
    <s v="FUR-TA-10001095"/>
    <s v="Furniture"/>
    <x v="2"/>
    <s v="Chromcraft Round Conference Tables"/>
    <n v="697.16"/>
    <n v="4"/>
    <n v="146.40360000000001"/>
    <x v="4"/>
    <x v="9"/>
  </r>
  <r>
    <x v="182"/>
    <x v="175"/>
    <d v="2016-09-09T00:00:00"/>
    <x v="0"/>
    <s v="MO-17500"/>
    <s v="Mary O'Rourke"/>
    <x v="0"/>
    <s v="United States"/>
    <x v="13"/>
    <x v="7"/>
    <x v="2"/>
    <s v="FUR-BO-10001811"/>
    <s v="Furniture"/>
    <x v="0"/>
    <s v="Atlantic Metals Mobile 5-Shelf Bookcases, Custom Colors"/>
    <n v="722.35199999999998"/>
    <n v="3"/>
    <n v="90.293999999999997"/>
    <x v="0"/>
    <x v="4"/>
  </r>
  <r>
    <x v="183"/>
    <x v="176"/>
    <d v="2017-10-16T00:00:00"/>
    <x v="1"/>
    <s v="SN-20710"/>
    <s v="Steve Nguyen"/>
    <x v="2"/>
    <s v="United States"/>
    <x v="88"/>
    <x v="8"/>
    <x v="3"/>
    <s v="FUR-CH-10002304"/>
    <s v="Furniture"/>
    <x v="1"/>
    <s v="Global Stack Chair without Arms, Black"/>
    <n v="254.60400000000001"/>
    <n v="14"/>
    <n v="-18.186"/>
    <x v="4"/>
    <x v="1"/>
  </r>
  <r>
    <x v="184"/>
    <x v="177"/>
    <d v="2016-03-13T00:00:00"/>
    <x v="1"/>
    <s v="ZC-21910"/>
    <s v="Zuschuss Carroll"/>
    <x v="0"/>
    <s v="United States"/>
    <x v="89"/>
    <x v="1"/>
    <x v="0"/>
    <s v="FUR-FU-10004006"/>
    <s v="Furniture"/>
    <x v="3"/>
    <s v="Deflect-o DuraMat Lighweight, Studded, Beveled Mat for Low Pile Carpeting"/>
    <n v="102.36"/>
    <n v="3"/>
    <n v="-3.8384999999999998"/>
    <x v="2"/>
    <x v="9"/>
  </r>
  <r>
    <x v="185"/>
    <x v="97"/>
    <d v="2015-07-05T00:00:00"/>
    <x v="2"/>
    <s v="DG-13300"/>
    <s v="Deirdre Greer"/>
    <x v="1"/>
    <s v="United States"/>
    <x v="3"/>
    <x v="3"/>
    <x v="2"/>
    <s v="FUR-FU-10000293"/>
    <s v="Furniture"/>
    <x v="3"/>
    <s v="Eldon Antistatic Chair Mats for Low to Medium Pile Carpets"/>
    <n v="168.464"/>
    <n v="2"/>
    <n v="-29.481200000000001"/>
    <x v="3"/>
    <x v="3"/>
  </r>
  <r>
    <x v="185"/>
    <x v="97"/>
    <d v="2015-07-05T00:00:00"/>
    <x v="2"/>
    <s v="DG-13300"/>
    <s v="Deirdre Greer"/>
    <x v="1"/>
    <s v="United States"/>
    <x v="3"/>
    <x v="3"/>
    <x v="2"/>
    <s v="FUR-FU-10004460"/>
    <s v="Furniture"/>
    <x v="3"/>
    <s v="Howard Miller 12&quot; Round Wall Clock"/>
    <n v="282.88799999999998"/>
    <n v="9"/>
    <n v="56.577599999999997"/>
    <x v="3"/>
    <x v="3"/>
  </r>
  <r>
    <x v="186"/>
    <x v="178"/>
    <d v="2015-04-08T00:00:00"/>
    <x v="1"/>
    <s v="NF-18595"/>
    <s v="Nicole Fjeld"/>
    <x v="2"/>
    <s v="United States"/>
    <x v="13"/>
    <x v="7"/>
    <x v="2"/>
    <s v="FUR-FU-10004622"/>
    <s v="Furniture"/>
    <x v="3"/>
    <s v="Eldon Advantage Foldable Chair Mats for Low Pile Carpets"/>
    <n v="108.4"/>
    <n v="2"/>
    <n v="22.763999999999999"/>
    <x v="4"/>
    <x v="6"/>
  </r>
  <r>
    <x v="187"/>
    <x v="179"/>
    <d v="2015-03-29T00:00:00"/>
    <x v="1"/>
    <s v="JD-16060"/>
    <s v="Julia Dunbar"/>
    <x v="0"/>
    <s v="United States"/>
    <x v="6"/>
    <x v="5"/>
    <x v="3"/>
    <s v="FUR-CH-10003396"/>
    <s v="Furniture"/>
    <x v="1"/>
    <s v="Global Deluxe Steno Chair"/>
    <n v="107.77200000000001"/>
    <n v="2"/>
    <n v="-29.252400000000002"/>
    <x v="6"/>
    <x v="9"/>
  </r>
  <r>
    <x v="188"/>
    <x v="180"/>
    <d v="2016-10-02T00:00:00"/>
    <x v="2"/>
    <s v="BD-11620"/>
    <s v="Brian DeCherney"/>
    <x v="0"/>
    <s v="United States"/>
    <x v="28"/>
    <x v="2"/>
    <x v="1"/>
    <s v="FUR-CH-10001146"/>
    <s v="Furniture"/>
    <x v="1"/>
    <s v="Global Value Mid-Back Manager's Chair, Gray"/>
    <n v="194.84800000000001"/>
    <n v="4"/>
    <n v="12.178000000000001"/>
    <x v="5"/>
    <x v="1"/>
  </r>
  <r>
    <x v="189"/>
    <x v="101"/>
    <d v="2015-12-04T00:00:00"/>
    <x v="1"/>
    <s v="BT-11395"/>
    <s v="Bill Tyler"/>
    <x v="1"/>
    <s v="United States"/>
    <x v="25"/>
    <x v="17"/>
    <x v="3"/>
    <s v="FUR-CH-10002880"/>
    <s v="Furniture"/>
    <x v="1"/>
    <s v="Global High-Back Leather Tilter, Burgundy"/>
    <n v="1106.9100000000001"/>
    <n v="9"/>
    <n v="121.76009999999999"/>
    <x v="2"/>
    <x v="0"/>
  </r>
  <r>
    <x v="190"/>
    <x v="181"/>
    <d v="2016-03-05T00:00:00"/>
    <x v="1"/>
    <s v="KD-16270"/>
    <s v="Karen Daniels"/>
    <x v="0"/>
    <s v="United States"/>
    <x v="90"/>
    <x v="7"/>
    <x v="2"/>
    <s v="FUR-TA-10001095"/>
    <s v="Furniture"/>
    <x v="2"/>
    <s v="Chromcraft Round Conference Tables"/>
    <n v="836.59199999999998"/>
    <n v="8"/>
    <n v="-264.92079999999999"/>
    <x v="4"/>
    <x v="9"/>
  </r>
  <r>
    <x v="191"/>
    <x v="182"/>
    <d v="2017-06-10T00:00:00"/>
    <x v="1"/>
    <s v="LW-16990"/>
    <s v="Lindsay Williams"/>
    <x v="1"/>
    <s v="United States"/>
    <x v="91"/>
    <x v="30"/>
    <x v="0"/>
    <s v="FUR-FU-10001967"/>
    <s v="Furniture"/>
    <x v="3"/>
    <s v="Telescoping Adjustable Floor Lamp"/>
    <n v="31.984000000000002"/>
    <n v="2"/>
    <n v="1.9990000000000001"/>
    <x v="6"/>
    <x v="2"/>
  </r>
  <r>
    <x v="192"/>
    <x v="183"/>
    <d v="2014-06-28T00:00:00"/>
    <x v="2"/>
    <s v="NS-18640"/>
    <s v="Noel Staavos"/>
    <x v="1"/>
    <s v="United States"/>
    <x v="2"/>
    <x v="2"/>
    <x v="1"/>
    <s v="FUR-TA-10004147"/>
    <s v="Furniture"/>
    <x v="2"/>
    <s v="Hon 4060 Series Tables"/>
    <n v="447.84"/>
    <n v="5"/>
    <n v="11.196"/>
    <x v="0"/>
    <x v="2"/>
  </r>
  <r>
    <x v="193"/>
    <x v="184"/>
    <d v="2016-06-17T00:00:00"/>
    <x v="2"/>
    <s v="PV-18985"/>
    <s v="Paul Van Hugh"/>
    <x v="2"/>
    <s v="United States"/>
    <x v="28"/>
    <x v="2"/>
    <x v="1"/>
    <s v="FUR-FU-10000206"/>
    <s v="Furniture"/>
    <x v="3"/>
    <s v="GE General Purpose, Extra Long Life, Showcase &amp; Floodlight Incandescent Bulbs"/>
    <n v="8.73"/>
    <n v="3"/>
    <n v="4.1031000000000004"/>
    <x v="0"/>
    <x v="2"/>
  </r>
  <r>
    <x v="194"/>
    <x v="185"/>
    <d v="2016-11-24T00:00:00"/>
    <x v="1"/>
    <s v="EH-13945"/>
    <s v="Eric Hoffmann"/>
    <x v="0"/>
    <s v="United States"/>
    <x v="6"/>
    <x v="5"/>
    <x v="3"/>
    <s v="FUR-FU-10000206"/>
    <s v="Furniture"/>
    <x v="3"/>
    <s v="GE General Purpose, Extra Long Life, Showcase &amp; Floodlight Incandescent Bulbs"/>
    <n v="2.3279999999999998"/>
    <n v="2"/>
    <n v="-0.75660000000000005"/>
    <x v="2"/>
    <x v="0"/>
  </r>
  <r>
    <x v="195"/>
    <x v="186"/>
    <d v="2017-12-23T00:00:00"/>
    <x v="0"/>
    <s v="RA-19915"/>
    <s v="Russell Applegate"/>
    <x v="0"/>
    <s v="United States"/>
    <x v="92"/>
    <x v="2"/>
    <x v="1"/>
    <s v="FUR-BO-10002206"/>
    <s v="Furniture"/>
    <x v="0"/>
    <s v="Bush Saratoga Collection 5-Shelf Bookcase, Hanover Cherry, *Special Order"/>
    <n v="119.833"/>
    <n v="1"/>
    <n v="-12.6882"/>
    <x v="2"/>
    <x v="5"/>
  </r>
  <r>
    <x v="196"/>
    <x v="187"/>
    <d v="2014-01-26T00:00:00"/>
    <x v="1"/>
    <s v="HL-15040"/>
    <s v="Hunter Lopez"/>
    <x v="0"/>
    <s v="United States"/>
    <x v="93"/>
    <x v="31"/>
    <x v="0"/>
    <s v="FUR-FU-10003194"/>
    <s v="Furniture"/>
    <x v="3"/>
    <s v="Eldon Expressions Desk Accessory, Wood Pencil Holder, Oak"/>
    <n v="38.6"/>
    <n v="4"/>
    <n v="11.58"/>
    <x v="6"/>
    <x v="8"/>
  </r>
  <r>
    <x v="196"/>
    <x v="187"/>
    <d v="2014-01-26T00:00:00"/>
    <x v="1"/>
    <s v="HL-15040"/>
    <s v="Hunter Lopez"/>
    <x v="0"/>
    <s v="United States"/>
    <x v="93"/>
    <x v="31"/>
    <x v="0"/>
    <s v="FUR-CH-10002331"/>
    <s v="Furniture"/>
    <x v="1"/>
    <s v="Hon 4700 Series Mobuis Mid-Back Task Chairs with Adjustable Arms"/>
    <n v="1067.94"/>
    <n v="3"/>
    <n v="224.26740000000001"/>
    <x v="6"/>
    <x v="8"/>
  </r>
  <r>
    <x v="197"/>
    <x v="188"/>
    <d v="2016-04-16T00:00:00"/>
    <x v="1"/>
    <s v="BD-11605"/>
    <s v="Brian Dahlen"/>
    <x v="0"/>
    <s v="United States"/>
    <x v="76"/>
    <x v="25"/>
    <x v="0"/>
    <s v="FUR-TA-10004086"/>
    <s v="Furniture"/>
    <x v="2"/>
    <s v="KI Adjustable-Height Table"/>
    <n v="343.92"/>
    <n v="4"/>
    <n v="75.662400000000005"/>
    <x v="4"/>
    <x v="6"/>
  </r>
  <r>
    <x v="198"/>
    <x v="189"/>
    <d v="2014-10-03T00:00:00"/>
    <x v="1"/>
    <s v="AP-10915"/>
    <s v="Arthur Prichep"/>
    <x v="0"/>
    <s v="United States"/>
    <x v="2"/>
    <x v="2"/>
    <x v="1"/>
    <s v="FUR-FU-10004188"/>
    <s v="Furniture"/>
    <x v="3"/>
    <s v="Luxo Professional Combination Clamp-On Lamps"/>
    <n v="204.6"/>
    <n v="2"/>
    <n v="53.195999999999998"/>
    <x v="4"/>
    <x v="4"/>
  </r>
  <r>
    <x v="199"/>
    <x v="190"/>
    <d v="2015-05-14T00:00:00"/>
    <x v="1"/>
    <s v="CB-12535"/>
    <s v="Claudia Bergmann"/>
    <x v="1"/>
    <s v="United States"/>
    <x v="94"/>
    <x v="15"/>
    <x v="2"/>
    <s v="FUR-FU-10001852"/>
    <s v="Furniture"/>
    <x v="3"/>
    <s v="Eldon Regeneration Recycled Desk Accessories, Smoke"/>
    <n v="8.3520000000000003"/>
    <n v="6"/>
    <n v="1.2527999999999999"/>
    <x v="6"/>
    <x v="7"/>
  </r>
  <r>
    <x v="200"/>
    <x v="191"/>
    <d v="2014-12-21T00:00:00"/>
    <x v="2"/>
    <s v="PS-19045"/>
    <s v="Penelope Sewall"/>
    <x v="2"/>
    <s v="United States"/>
    <x v="95"/>
    <x v="25"/>
    <x v="0"/>
    <s v="FUR-TA-10001932"/>
    <s v="Furniture"/>
    <x v="2"/>
    <s v="Chromcraft 48&quot; x 96&quot; Racetrack Double Pedestal Table"/>
    <n v="2244.48"/>
    <n v="7"/>
    <n v="493.78559999999999"/>
    <x v="5"/>
    <x v="5"/>
  </r>
  <r>
    <x v="200"/>
    <x v="191"/>
    <d v="2014-12-21T00:00:00"/>
    <x v="2"/>
    <s v="PS-19045"/>
    <s v="Penelope Sewall"/>
    <x v="2"/>
    <s v="United States"/>
    <x v="95"/>
    <x v="25"/>
    <x v="0"/>
    <s v="FUR-TA-10000617"/>
    <s v="Furniture"/>
    <x v="2"/>
    <s v="Hon Practical Foundations 30 x 60 Training Table, Light Gray/Charcoal"/>
    <n v="455.1"/>
    <n v="2"/>
    <n v="100.122"/>
    <x v="5"/>
    <x v="5"/>
  </r>
  <r>
    <x v="201"/>
    <x v="192"/>
    <d v="2016-07-07T00:00:00"/>
    <x v="0"/>
    <s v="GB-14530"/>
    <s v="George Bell"/>
    <x v="1"/>
    <s v="United States"/>
    <x v="2"/>
    <x v="2"/>
    <x v="1"/>
    <s v="FUR-CH-10002126"/>
    <s v="Furniture"/>
    <x v="1"/>
    <s v="Hon Deluxe Fabric Upholstered Stacking Chairs"/>
    <n v="195.184"/>
    <n v="1"/>
    <n v="19.5184"/>
    <x v="2"/>
    <x v="3"/>
  </r>
  <r>
    <x v="202"/>
    <x v="64"/>
    <d v="2017-12-10T00:00:00"/>
    <x v="0"/>
    <s v="DL-13315"/>
    <s v="Delfina Latchford"/>
    <x v="0"/>
    <s v="United States"/>
    <x v="13"/>
    <x v="7"/>
    <x v="2"/>
    <s v="FUR-FU-10004952"/>
    <s v="Furniture"/>
    <x v="3"/>
    <s v="C-Line Cubicle Keepers Polyproplyene Holder w/Velcro Back, 8-1/2x11, 25/Bx"/>
    <n v="109.48"/>
    <n v="2"/>
    <n v="33.938800000000001"/>
    <x v="3"/>
    <x v="5"/>
  </r>
  <r>
    <x v="203"/>
    <x v="193"/>
    <d v="2016-12-05T00:00:00"/>
    <x v="1"/>
    <s v="JE-15745"/>
    <s v="Joel Eaton"/>
    <x v="0"/>
    <s v="United States"/>
    <x v="96"/>
    <x v="32"/>
    <x v="2"/>
    <s v="FUR-CH-10001270"/>
    <s v="Furniture"/>
    <x v="1"/>
    <s v="Harbour Creations Steel Folding Chair"/>
    <n v="172.5"/>
    <n v="2"/>
    <n v="51.75"/>
    <x v="4"/>
    <x v="5"/>
  </r>
  <r>
    <x v="204"/>
    <x v="194"/>
    <d v="2017-02-28T00:00:00"/>
    <x v="0"/>
    <s v="BT-11530"/>
    <s v="Bradley Talbott"/>
    <x v="2"/>
    <s v="United States"/>
    <x v="2"/>
    <x v="2"/>
    <x v="1"/>
    <s v="FUR-CH-10003973"/>
    <s v="Furniture"/>
    <x v="1"/>
    <s v="GuestStacker Chair with Chrome Finish Legs"/>
    <n v="892.22400000000005"/>
    <n v="3"/>
    <n v="89.222399999999993"/>
    <x v="3"/>
    <x v="11"/>
  </r>
  <r>
    <x v="205"/>
    <x v="195"/>
    <d v="2015-09-15T00:00:00"/>
    <x v="3"/>
    <s v="NG-18355"/>
    <s v="Nat Gilpin"/>
    <x v="1"/>
    <s v="United States"/>
    <x v="97"/>
    <x v="1"/>
    <x v="0"/>
    <s v="FUR-FU-10002268"/>
    <s v="Furniture"/>
    <x v="3"/>
    <s v="Ultra Door Push Plate"/>
    <n v="15.712"/>
    <n v="4"/>
    <n v="2.5531999999999999"/>
    <x v="7"/>
    <x v="4"/>
  </r>
  <r>
    <x v="205"/>
    <x v="195"/>
    <d v="2015-09-15T00:00:00"/>
    <x v="3"/>
    <s v="NG-18355"/>
    <s v="Nat Gilpin"/>
    <x v="1"/>
    <s v="United States"/>
    <x v="97"/>
    <x v="1"/>
    <x v="0"/>
    <s v="FUR-FU-10003394"/>
    <s v="Furniture"/>
    <x v="3"/>
    <s v="Tenex &quot;The Solids&quot; Textured Chair Mats"/>
    <n v="55.968000000000004"/>
    <n v="1"/>
    <n v="-2.0988000000000002"/>
    <x v="7"/>
    <x v="4"/>
  </r>
  <r>
    <x v="206"/>
    <x v="57"/>
    <d v="2016-04-12T00:00:00"/>
    <x v="1"/>
    <s v="ZC-21910"/>
    <s v="Zuschuss Carroll"/>
    <x v="0"/>
    <s v="United States"/>
    <x v="6"/>
    <x v="5"/>
    <x v="3"/>
    <s v="FUR-CH-10004540"/>
    <s v="Furniture"/>
    <x v="1"/>
    <s v="Global Chrome Stack Chair"/>
    <n v="95.983999999999995"/>
    <n v="4"/>
    <n v="-4.1135999999999999"/>
    <x v="4"/>
    <x v="6"/>
  </r>
  <r>
    <x v="207"/>
    <x v="196"/>
    <d v="2016-07-24T00:00:00"/>
    <x v="1"/>
    <s v="LS-16945"/>
    <s v="Linda Southworth"/>
    <x v="1"/>
    <s v="United States"/>
    <x v="22"/>
    <x v="12"/>
    <x v="1"/>
    <s v="FUR-CH-10002335"/>
    <s v="Furniture"/>
    <x v="1"/>
    <s v="Hon GuestStacker Chair"/>
    <n v="544.00800000000004"/>
    <n v="3"/>
    <n v="40.800600000000003"/>
    <x v="6"/>
    <x v="3"/>
  </r>
  <r>
    <x v="207"/>
    <x v="196"/>
    <d v="2016-07-24T00:00:00"/>
    <x v="1"/>
    <s v="LS-16945"/>
    <s v="Linda Southworth"/>
    <x v="1"/>
    <s v="United States"/>
    <x v="22"/>
    <x v="12"/>
    <x v="1"/>
    <s v="FUR-CH-10002331"/>
    <s v="Furniture"/>
    <x v="1"/>
    <s v="Hon 4700 Series Mobuis Mid-Back Task Chairs with Adjustable Arms"/>
    <n v="854.35199999999998"/>
    <n v="3"/>
    <n v="10.679399999999999"/>
    <x v="6"/>
    <x v="3"/>
  </r>
  <r>
    <x v="208"/>
    <x v="197"/>
    <d v="2016-07-18T00:00:00"/>
    <x v="0"/>
    <s v="SW-20755"/>
    <s v="Steven Ward"/>
    <x v="1"/>
    <s v="United States"/>
    <x v="13"/>
    <x v="7"/>
    <x v="2"/>
    <s v="FUR-BO-10004695"/>
    <s v="Furniture"/>
    <x v="0"/>
    <s v="O'Sullivan 2-Door Barrister Bookcase in Odessa Pine"/>
    <n v="579.13599999999997"/>
    <n v="4"/>
    <n v="21.717600000000001"/>
    <x v="4"/>
    <x v="3"/>
  </r>
  <r>
    <x v="209"/>
    <x v="198"/>
    <d v="2017-09-13T00:00:00"/>
    <x v="1"/>
    <s v="SP-20620"/>
    <s v="Stefania Perrino"/>
    <x v="1"/>
    <s v="United States"/>
    <x v="3"/>
    <x v="3"/>
    <x v="2"/>
    <s v="FUR-CH-10004860"/>
    <s v="Furniture"/>
    <x v="1"/>
    <s v="Global Low Back Tilter Chair"/>
    <n v="141.37200000000001"/>
    <n v="2"/>
    <n v="-48.470399999999998"/>
    <x v="4"/>
    <x v="4"/>
  </r>
  <r>
    <x v="209"/>
    <x v="198"/>
    <d v="2017-09-13T00:00:00"/>
    <x v="1"/>
    <s v="SP-20620"/>
    <s v="Stefania Perrino"/>
    <x v="1"/>
    <s v="United States"/>
    <x v="3"/>
    <x v="3"/>
    <x v="2"/>
    <s v="FUR-FU-10001867"/>
    <s v="Furniture"/>
    <x v="3"/>
    <s v="Eldon Expressions Punched Metal &amp; Wood Desk Accessories, Pewter &amp; Cherry"/>
    <n v="17.024000000000001"/>
    <n v="2"/>
    <n v="1.7023999999999999"/>
    <x v="4"/>
    <x v="4"/>
  </r>
  <r>
    <x v="210"/>
    <x v="199"/>
    <d v="2016-12-05T00:00:00"/>
    <x v="2"/>
    <s v="BM-11140"/>
    <s v="Becky Martin"/>
    <x v="0"/>
    <s v="United States"/>
    <x v="13"/>
    <x v="7"/>
    <x v="2"/>
    <s v="FUR-FU-10001602"/>
    <s v="Furniture"/>
    <x v="3"/>
    <s v="Eldon Delta Triangular Chair Mat, 52&quot; x 58&quot;, Clear"/>
    <n v="113.79"/>
    <n v="3"/>
    <n v="20.482199999999999"/>
    <x v="5"/>
    <x v="5"/>
  </r>
  <r>
    <x v="211"/>
    <x v="200"/>
    <d v="2017-11-11T00:00:00"/>
    <x v="1"/>
    <s v="ZC-21910"/>
    <s v="Zuschuss Carroll"/>
    <x v="0"/>
    <s v="United States"/>
    <x v="2"/>
    <x v="2"/>
    <x v="1"/>
    <s v="FUR-FU-10001424"/>
    <s v="Furniture"/>
    <x v="3"/>
    <s v="Dax Clear Box Frame"/>
    <n v="8.73"/>
    <n v="1"/>
    <n v="2.9681999999999999"/>
    <x v="2"/>
    <x v="0"/>
  </r>
  <r>
    <x v="212"/>
    <x v="48"/>
    <d v="2016-10-28T00:00:00"/>
    <x v="3"/>
    <s v="PG-18820"/>
    <s v="Patrick Gardner"/>
    <x v="0"/>
    <s v="United States"/>
    <x v="98"/>
    <x v="1"/>
    <x v="0"/>
    <s v="FUR-FU-10000076"/>
    <s v="Furniture"/>
    <x v="3"/>
    <s v="24-Hour Round Wall Clock"/>
    <n v="47.951999999999998"/>
    <n v="3"/>
    <n v="13.786199999999999"/>
    <x v="7"/>
    <x v="1"/>
  </r>
  <r>
    <x v="212"/>
    <x v="48"/>
    <d v="2016-10-28T00:00:00"/>
    <x v="3"/>
    <s v="PG-18820"/>
    <s v="Patrick Gardner"/>
    <x v="0"/>
    <s v="United States"/>
    <x v="98"/>
    <x v="1"/>
    <x v="0"/>
    <s v="FUR-FU-10003268"/>
    <s v="Furniture"/>
    <x v="3"/>
    <s v="Eldon Radial Chair Mat for Low to Medium Pile Carpets"/>
    <n v="63.968000000000004"/>
    <n v="2"/>
    <n v="0"/>
    <x v="7"/>
    <x v="1"/>
  </r>
  <r>
    <x v="212"/>
    <x v="48"/>
    <d v="2016-10-28T00:00:00"/>
    <x v="3"/>
    <s v="PG-18820"/>
    <s v="Patrick Gardner"/>
    <x v="0"/>
    <s v="United States"/>
    <x v="98"/>
    <x v="1"/>
    <x v="0"/>
    <s v="FUR-FU-10003553"/>
    <s v="Furniture"/>
    <x v="3"/>
    <s v="Howard Miller 13-1/2&quot; Diameter Rosebrook Wall Clock"/>
    <n v="165.048"/>
    <n v="3"/>
    <n v="41.262"/>
    <x v="7"/>
    <x v="1"/>
  </r>
  <r>
    <x v="213"/>
    <x v="201"/>
    <d v="2014-08-15T00:00:00"/>
    <x v="1"/>
    <s v="GM-14680"/>
    <s v="Greg Matthias"/>
    <x v="0"/>
    <s v="United States"/>
    <x v="15"/>
    <x v="13"/>
    <x v="1"/>
    <s v="FUR-FU-10003691"/>
    <s v="Furniture"/>
    <x v="3"/>
    <s v="Eldon Image Series Desk Accessories, Ebony"/>
    <n v="12.35"/>
    <n v="1"/>
    <n v="5.4340000000000002"/>
    <x v="4"/>
    <x v="10"/>
  </r>
  <r>
    <x v="214"/>
    <x v="202"/>
    <d v="2014-12-14T00:00:00"/>
    <x v="0"/>
    <s v="NP-18700"/>
    <s v="Nora Preis"/>
    <x v="0"/>
    <s v="United States"/>
    <x v="99"/>
    <x v="2"/>
    <x v="1"/>
    <s v="FUR-TA-10004619"/>
    <s v="Furniture"/>
    <x v="2"/>
    <s v="Hon Non-Folding Utility Tables"/>
    <n v="764.68799999999999"/>
    <n v="6"/>
    <n v="95.585999999999999"/>
    <x v="3"/>
    <x v="5"/>
  </r>
  <r>
    <x v="214"/>
    <x v="202"/>
    <d v="2014-12-14T00:00:00"/>
    <x v="0"/>
    <s v="NP-18700"/>
    <s v="Nora Preis"/>
    <x v="0"/>
    <s v="United States"/>
    <x v="99"/>
    <x v="2"/>
    <x v="1"/>
    <s v="FUR-TA-10003473"/>
    <s v="Furniture"/>
    <x v="2"/>
    <s v="Bretford Rectangular Conference Table Tops"/>
    <n v="3610.848"/>
    <n v="12"/>
    <n v="135.4068"/>
    <x v="3"/>
    <x v="5"/>
  </r>
  <r>
    <x v="214"/>
    <x v="202"/>
    <d v="2014-12-14T00:00:00"/>
    <x v="0"/>
    <s v="NP-18700"/>
    <s v="Nora Preis"/>
    <x v="0"/>
    <s v="United States"/>
    <x v="99"/>
    <x v="2"/>
    <x v="1"/>
    <s v="FUR-BO-10004467"/>
    <s v="Furniture"/>
    <x v="0"/>
    <s v="Bestar Classic Bookcase"/>
    <n v="254.97450000000001"/>
    <n v="3"/>
    <n v="11.998799999999999"/>
    <x v="3"/>
    <x v="5"/>
  </r>
  <r>
    <x v="215"/>
    <x v="186"/>
    <d v="2017-12-24T00:00:00"/>
    <x v="1"/>
    <s v="DJ-13630"/>
    <s v="Doug Jacobs"/>
    <x v="0"/>
    <s v="United States"/>
    <x v="13"/>
    <x v="7"/>
    <x v="2"/>
    <s v="FUR-CH-10001708"/>
    <s v="Furniture"/>
    <x v="1"/>
    <s v="Office Star - Contemporary Swivel Chair with Padded Adjustable Arms and Flex Back"/>
    <n v="1141.9380000000001"/>
    <n v="9"/>
    <n v="139.5702"/>
    <x v="6"/>
    <x v="5"/>
  </r>
  <r>
    <x v="216"/>
    <x v="203"/>
    <d v="2017-03-14T00:00:00"/>
    <x v="1"/>
    <s v="MH-18115"/>
    <s v="Mick Hernandez"/>
    <x v="2"/>
    <s v="United States"/>
    <x v="100"/>
    <x v="3"/>
    <x v="2"/>
    <s v="FUR-FU-10003724"/>
    <s v="Furniture"/>
    <x v="3"/>
    <s v="Westinghouse Clip-On Gooseneck Lamps"/>
    <n v="6.6959999999999997"/>
    <n v="1"/>
    <n v="0.50219999999999998"/>
    <x v="4"/>
    <x v="9"/>
  </r>
  <r>
    <x v="216"/>
    <x v="203"/>
    <d v="2017-03-14T00:00:00"/>
    <x v="1"/>
    <s v="MH-18115"/>
    <s v="Mick Hernandez"/>
    <x v="2"/>
    <s v="United States"/>
    <x v="100"/>
    <x v="3"/>
    <x v="2"/>
    <s v="FUR-FU-10003535"/>
    <s v="Furniture"/>
    <x v="3"/>
    <s v="Howard Miller Distant Time Traveler Alarm Clock"/>
    <n v="43.872"/>
    <n v="2"/>
    <n v="11.516400000000001"/>
    <x v="4"/>
    <x v="9"/>
  </r>
  <r>
    <x v="217"/>
    <x v="180"/>
    <d v="2016-10-02T00:00:00"/>
    <x v="2"/>
    <s v="CC-12220"/>
    <s v="Chris Cortes"/>
    <x v="0"/>
    <s v="United States"/>
    <x v="101"/>
    <x v="6"/>
    <x v="3"/>
    <s v="FUR-FU-10003724"/>
    <s v="Furniture"/>
    <x v="3"/>
    <s v="Westinghouse Clip-On Gooseneck Lamps"/>
    <n v="41.85"/>
    <n v="5"/>
    <n v="10.881"/>
    <x v="5"/>
    <x v="1"/>
  </r>
  <r>
    <x v="218"/>
    <x v="109"/>
    <d v="2014-12-29T00:00:00"/>
    <x v="1"/>
    <s v="JC-16105"/>
    <s v="Julie Creighton"/>
    <x v="1"/>
    <s v="United States"/>
    <x v="2"/>
    <x v="2"/>
    <x v="1"/>
    <s v="FUR-CH-10001146"/>
    <s v="Furniture"/>
    <x v="1"/>
    <s v="Global Value Mid-Back Manager's Chair, Gray"/>
    <n v="292.27199999999999"/>
    <n v="6"/>
    <n v="18.266999999999999"/>
    <x v="2"/>
    <x v="5"/>
  </r>
  <r>
    <x v="219"/>
    <x v="204"/>
    <d v="2017-09-27T00:00:00"/>
    <x v="1"/>
    <s v="BG-11695"/>
    <s v="Brooke Gillingham"/>
    <x v="1"/>
    <s v="United States"/>
    <x v="74"/>
    <x v="12"/>
    <x v="1"/>
    <s v="FUR-FU-10000246"/>
    <s v="Furniture"/>
    <x v="3"/>
    <s v="Aluminum Document Frame"/>
    <n v="29.327999999999999"/>
    <n v="3"/>
    <n v="3.6659999999999999"/>
    <x v="4"/>
    <x v="4"/>
  </r>
  <r>
    <x v="220"/>
    <x v="205"/>
    <d v="2016-05-26T00:00:00"/>
    <x v="3"/>
    <s v="MS-17710"/>
    <s v="Maurice Satty"/>
    <x v="0"/>
    <s v="United States"/>
    <x v="50"/>
    <x v="5"/>
    <x v="3"/>
    <s v="FUR-CH-10001973"/>
    <s v="Furniture"/>
    <x v="1"/>
    <s v="Office Star Flex Back Scooter Chair with White Frame"/>
    <n v="388.43"/>
    <n v="5"/>
    <n v="-88.784000000000006"/>
    <x v="7"/>
    <x v="7"/>
  </r>
  <r>
    <x v="221"/>
    <x v="206"/>
    <d v="2016-11-26T00:00:00"/>
    <x v="1"/>
    <s v="TB-21355"/>
    <s v="Todd Boyes"/>
    <x v="1"/>
    <s v="United States"/>
    <x v="13"/>
    <x v="7"/>
    <x v="2"/>
    <s v="FUR-FU-10000397"/>
    <s v="Furniture"/>
    <x v="3"/>
    <s v="Luxo Economy Swing Arm Lamp"/>
    <n v="39.880000000000003"/>
    <n v="2"/>
    <n v="11.166399999999999"/>
    <x v="4"/>
    <x v="0"/>
  </r>
  <r>
    <x v="222"/>
    <x v="207"/>
    <d v="2016-12-25T00:00:00"/>
    <x v="0"/>
    <s v="LC-17140"/>
    <s v="Logan Currie"/>
    <x v="0"/>
    <s v="United States"/>
    <x v="76"/>
    <x v="25"/>
    <x v="0"/>
    <s v="FUR-FU-10003664"/>
    <s v="Furniture"/>
    <x v="3"/>
    <s v="Electrix Architect's Clamp-On Swing Arm Lamp, Black"/>
    <n v="572.76"/>
    <n v="6"/>
    <n v="166.10040000000001"/>
    <x v="3"/>
    <x v="5"/>
  </r>
  <r>
    <x v="222"/>
    <x v="207"/>
    <d v="2016-12-25T00:00:00"/>
    <x v="0"/>
    <s v="LC-17140"/>
    <s v="Logan Currie"/>
    <x v="0"/>
    <s v="United States"/>
    <x v="76"/>
    <x v="25"/>
    <x v="0"/>
    <s v="FUR-FU-10003664"/>
    <s v="Furniture"/>
    <x v="3"/>
    <s v="Electrix Architect's Clamp-On Swing Arm Lamp, Black"/>
    <n v="286.38"/>
    <n v="3"/>
    <n v="83.050200000000004"/>
    <x v="3"/>
    <x v="5"/>
  </r>
  <r>
    <x v="223"/>
    <x v="208"/>
    <d v="2015-09-24T00:00:00"/>
    <x v="0"/>
    <s v="TC-21535"/>
    <s v="Tracy Collins"/>
    <x v="2"/>
    <s v="United States"/>
    <x v="58"/>
    <x v="25"/>
    <x v="0"/>
    <s v="FUR-BO-10003433"/>
    <s v="Furniture"/>
    <x v="0"/>
    <s v="Sauder Cornerstone Collection Library"/>
    <n v="61.96"/>
    <n v="2"/>
    <n v="4.3372000000000002"/>
    <x v="2"/>
    <x v="4"/>
  </r>
  <r>
    <x v="224"/>
    <x v="209"/>
    <d v="2017-07-07T00:00:00"/>
    <x v="1"/>
    <s v="CS-12460"/>
    <s v="Chuck Sachs"/>
    <x v="0"/>
    <s v="United States"/>
    <x v="29"/>
    <x v="24"/>
    <x v="0"/>
    <s v="FUR-FU-10002554"/>
    <s v="Furniture"/>
    <x v="3"/>
    <s v="Westinghouse Floor Lamp with Metal Mesh Shade, Black"/>
    <n v="23.99"/>
    <n v="1"/>
    <n v="5.5176999999999996"/>
    <x v="4"/>
    <x v="3"/>
  </r>
  <r>
    <x v="225"/>
    <x v="210"/>
    <d v="2016-06-21T00:00:00"/>
    <x v="2"/>
    <s v="RC-19825"/>
    <s v="Roy Collins"/>
    <x v="0"/>
    <s v="United States"/>
    <x v="102"/>
    <x v="2"/>
    <x v="1"/>
    <s v="FUR-CH-10003846"/>
    <s v="Furniture"/>
    <x v="1"/>
    <s v="Hon Valutask Swivel Chairs"/>
    <n v="161.56800000000001"/>
    <n v="2"/>
    <n v="-8.0784000000000002"/>
    <x v="5"/>
    <x v="2"/>
  </r>
  <r>
    <x v="226"/>
    <x v="211"/>
    <d v="2016-10-01T00:00:00"/>
    <x v="1"/>
    <s v="PK-19075"/>
    <s v="Pete Kriz"/>
    <x v="0"/>
    <s v="United States"/>
    <x v="29"/>
    <x v="15"/>
    <x v="2"/>
    <s v="FUR-CH-10003199"/>
    <s v="Furniture"/>
    <x v="1"/>
    <s v="Office Star - Contemporary Task Swivel Chair"/>
    <n v="155.37200000000001"/>
    <n v="2"/>
    <n v="-13.317600000000001"/>
    <x v="1"/>
    <x v="4"/>
  </r>
  <r>
    <x v="227"/>
    <x v="105"/>
    <d v="2016-12-23T00:00:00"/>
    <x v="1"/>
    <s v="HG-14965"/>
    <s v="Henry Goldwyn"/>
    <x v="1"/>
    <s v="United States"/>
    <x v="2"/>
    <x v="2"/>
    <x v="1"/>
    <s v="FUR-FU-10004960"/>
    <s v="Furniture"/>
    <x v="3"/>
    <s v="Seth Thomas 12&quot; Clock w/ Goldtone Case"/>
    <n v="183.84"/>
    <n v="8"/>
    <n v="62.505600000000001"/>
    <x v="2"/>
    <x v="5"/>
  </r>
  <r>
    <x v="228"/>
    <x v="212"/>
    <d v="2015-06-18T00:00:00"/>
    <x v="1"/>
    <s v="AD-10180"/>
    <s v="Alan Dominguez"/>
    <x v="2"/>
    <s v="United States"/>
    <x v="3"/>
    <x v="3"/>
    <x v="2"/>
    <s v="FUR-FU-10001867"/>
    <s v="Furniture"/>
    <x v="3"/>
    <s v="Eldon Expressions Punched Metal &amp; Wood Desk Accessories, Pewter &amp; Cherry"/>
    <n v="51.072000000000003"/>
    <n v="6"/>
    <n v="5.1071999999999997"/>
    <x v="4"/>
    <x v="2"/>
  </r>
  <r>
    <x v="229"/>
    <x v="213"/>
    <d v="2016-05-27T00:00:00"/>
    <x v="1"/>
    <s v="LD-17005"/>
    <s v="Lisa DeCherney"/>
    <x v="0"/>
    <s v="United States"/>
    <x v="28"/>
    <x v="2"/>
    <x v="1"/>
    <s v="FUR-FU-10003691"/>
    <s v="Furniture"/>
    <x v="3"/>
    <s v="Eldon Image Series Desk Accessories, Ebony"/>
    <n v="37.049999999999997"/>
    <n v="3"/>
    <n v="16.302"/>
    <x v="4"/>
    <x v="7"/>
  </r>
  <r>
    <x v="230"/>
    <x v="214"/>
    <d v="2017-04-07T00:00:00"/>
    <x v="1"/>
    <s v="JF-15190"/>
    <s v="Jamie Frazer"/>
    <x v="0"/>
    <s v="United States"/>
    <x v="2"/>
    <x v="2"/>
    <x v="1"/>
    <s v="FUR-FU-10003724"/>
    <s v="Furniture"/>
    <x v="3"/>
    <s v="Westinghouse Clip-On Gooseneck Lamps"/>
    <n v="25.11"/>
    <n v="3"/>
    <n v="6.5286"/>
    <x v="2"/>
    <x v="6"/>
  </r>
  <r>
    <x v="231"/>
    <x v="76"/>
    <d v="2017-04-02T00:00:00"/>
    <x v="0"/>
    <s v="CM-12115"/>
    <s v="Chad McGuire"/>
    <x v="0"/>
    <s v="United States"/>
    <x v="13"/>
    <x v="7"/>
    <x v="2"/>
    <s v="FUR-FU-10004018"/>
    <s v="Furniture"/>
    <x v="3"/>
    <s v="Tensor Computer Mounted Lamp"/>
    <n v="29.78"/>
    <n v="2"/>
    <n v="8.0405999999999995"/>
    <x v="3"/>
    <x v="9"/>
  </r>
  <r>
    <x v="232"/>
    <x v="215"/>
    <d v="2014-10-08T00:00:00"/>
    <x v="0"/>
    <s v="BP-11290"/>
    <s v="Beth Paige"/>
    <x v="0"/>
    <s v="United States"/>
    <x v="103"/>
    <x v="8"/>
    <x v="3"/>
    <s v="FUR-CH-10002880"/>
    <s v="Furniture"/>
    <x v="1"/>
    <s v="Global High-Back Leather Tilter, Burgundy"/>
    <n v="258.279"/>
    <n v="3"/>
    <n v="-70.104299999999995"/>
    <x v="2"/>
    <x v="1"/>
  </r>
  <r>
    <x v="233"/>
    <x v="216"/>
    <d v="2017-05-09T00:00:00"/>
    <x v="1"/>
    <s v="LW-16990"/>
    <s v="Lindsay Williams"/>
    <x v="1"/>
    <s v="United States"/>
    <x v="28"/>
    <x v="2"/>
    <x v="1"/>
    <s v="FUR-TA-10003473"/>
    <s v="Furniture"/>
    <x v="2"/>
    <s v="Bretford Rectangular Conference Table Tops"/>
    <n v="300.904"/>
    <n v="1"/>
    <n v="11.283899999999999"/>
    <x v="2"/>
    <x v="7"/>
  </r>
  <r>
    <x v="234"/>
    <x v="217"/>
    <d v="2017-04-27T00:00:00"/>
    <x v="2"/>
    <s v="LB-16735"/>
    <s v="Larry Blacks"/>
    <x v="0"/>
    <s v="United States"/>
    <x v="50"/>
    <x v="5"/>
    <x v="3"/>
    <s v="FUR-FU-10000010"/>
    <s v="Furniture"/>
    <x v="3"/>
    <s v="DAX Value U-Channel Document Frames, Easel Back"/>
    <n v="1.988"/>
    <n v="1"/>
    <n v="-1.4413"/>
    <x v="5"/>
    <x v="6"/>
  </r>
  <r>
    <x v="235"/>
    <x v="218"/>
    <d v="2014-10-01T00:00:00"/>
    <x v="0"/>
    <s v="KT-16465"/>
    <s v="Kean Takahito"/>
    <x v="0"/>
    <s v="United States"/>
    <x v="2"/>
    <x v="2"/>
    <x v="1"/>
    <s v="FUR-CH-10002961"/>
    <s v="Furniture"/>
    <x v="1"/>
    <s v="Leather Task Chair, Black"/>
    <n v="145.56800000000001"/>
    <n v="2"/>
    <n v="0"/>
    <x v="2"/>
    <x v="4"/>
  </r>
  <r>
    <x v="236"/>
    <x v="219"/>
    <d v="2017-11-11T00:00:00"/>
    <x v="2"/>
    <s v="AB-10600"/>
    <s v="Ann Blume"/>
    <x v="1"/>
    <s v="United States"/>
    <x v="104"/>
    <x v="22"/>
    <x v="1"/>
    <s v="FUR-CH-10003312"/>
    <s v="Furniture"/>
    <x v="1"/>
    <s v="Hon 2090 ÒPillow SoftÓ Series Mid Back Swivel/Tilt Chairs"/>
    <n v="899.13599999999997"/>
    <n v="4"/>
    <n v="-146.1096"/>
    <x v="5"/>
    <x v="0"/>
  </r>
  <r>
    <x v="237"/>
    <x v="220"/>
    <d v="2017-07-11T00:00:00"/>
    <x v="2"/>
    <s v="SZ-20035"/>
    <s v="Sam Zeldin"/>
    <x v="2"/>
    <s v="United States"/>
    <x v="105"/>
    <x v="2"/>
    <x v="1"/>
    <s v="FUR-FU-10001588"/>
    <s v="Furniture"/>
    <x v="3"/>
    <s v="Deflect-o SuperTray Unbreakable Stackable Tray, Letter, Black"/>
    <n v="145.9"/>
    <n v="5"/>
    <n v="62.737000000000002"/>
    <x v="0"/>
    <x v="3"/>
  </r>
  <r>
    <x v="238"/>
    <x v="37"/>
    <d v="2015-12-28T00:00:00"/>
    <x v="1"/>
    <s v="JR-15670"/>
    <s v="Jim Radford"/>
    <x v="0"/>
    <s v="United States"/>
    <x v="30"/>
    <x v="12"/>
    <x v="1"/>
    <s v="FUR-BO-10002613"/>
    <s v="Furniture"/>
    <x v="0"/>
    <s v="Atlantic Metals Mobile 4-Shelf Bookcases, Custom Colors"/>
    <n v="590.05799999999999"/>
    <n v="7"/>
    <n v="-786.74400000000003"/>
    <x v="4"/>
    <x v="5"/>
  </r>
  <r>
    <x v="239"/>
    <x v="221"/>
    <d v="2015-09-19T00:00:00"/>
    <x v="1"/>
    <s v="CA-12265"/>
    <s v="Christina Anderson"/>
    <x v="0"/>
    <s v="United States"/>
    <x v="106"/>
    <x v="4"/>
    <x v="1"/>
    <s v="FUR-TA-10003008"/>
    <s v="Furniture"/>
    <x v="2"/>
    <s v="Lesro Round Back Collection Coffee Table, End Table"/>
    <n v="912.75"/>
    <n v="5"/>
    <n v="118.6575"/>
    <x v="2"/>
    <x v="4"/>
  </r>
  <r>
    <x v="240"/>
    <x v="222"/>
    <d v="2016-09-09T00:00:00"/>
    <x v="1"/>
    <s v="JK-16120"/>
    <s v="Julie Kriz"/>
    <x v="2"/>
    <s v="United States"/>
    <x v="14"/>
    <x v="8"/>
    <x v="3"/>
    <s v="FUR-FU-10003394"/>
    <s v="Furniture"/>
    <x v="3"/>
    <s v="Tenex &quot;The Solids&quot; Textured Chair Mats"/>
    <n v="83.951999999999998"/>
    <n v="3"/>
    <n v="-90.248400000000004"/>
    <x v="6"/>
    <x v="4"/>
  </r>
  <r>
    <x v="241"/>
    <x v="223"/>
    <d v="2016-02-05T00:00:00"/>
    <x v="3"/>
    <s v="PP-18955"/>
    <s v="Paul Prost"/>
    <x v="2"/>
    <s v="United States"/>
    <x v="107"/>
    <x v="24"/>
    <x v="0"/>
    <s v="FUR-FU-10004091"/>
    <s v="Furniture"/>
    <x v="3"/>
    <s v="Eldon 200 Class Desk Accessories, Black"/>
    <n v="18.84"/>
    <n v="3"/>
    <n v="7.1592000000000002"/>
    <x v="7"/>
    <x v="11"/>
  </r>
  <r>
    <x v="241"/>
    <x v="223"/>
    <d v="2016-02-05T00:00:00"/>
    <x v="3"/>
    <s v="PP-18955"/>
    <s v="Paul Prost"/>
    <x v="2"/>
    <s v="United States"/>
    <x v="107"/>
    <x v="24"/>
    <x v="0"/>
    <s v="FUR-BO-10004015"/>
    <s v="Furniture"/>
    <x v="0"/>
    <s v="Bush Andora Bookcase, Maple/Graphite Gray Finish"/>
    <n v="239.98"/>
    <n v="2"/>
    <n v="52.7956"/>
    <x v="7"/>
    <x v="11"/>
  </r>
  <r>
    <x v="242"/>
    <x v="224"/>
    <d v="2017-10-14T00:00:00"/>
    <x v="1"/>
    <s v="CK-12760"/>
    <s v="Cyma Kinney"/>
    <x v="1"/>
    <s v="United States"/>
    <x v="14"/>
    <x v="8"/>
    <x v="3"/>
    <s v="FUR-TA-10002958"/>
    <s v="Furniture"/>
    <x v="2"/>
    <s v="Bevis Oval Conference Table, Walnut"/>
    <n v="652.45000000000005"/>
    <n v="5"/>
    <n v="-430.61700000000002"/>
    <x v="2"/>
    <x v="1"/>
  </r>
  <r>
    <x v="242"/>
    <x v="224"/>
    <d v="2017-10-14T00:00:00"/>
    <x v="1"/>
    <s v="CK-12760"/>
    <s v="Cyma Kinney"/>
    <x v="1"/>
    <s v="United States"/>
    <x v="14"/>
    <x v="8"/>
    <x v="3"/>
    <s v="FUR-TA-10001676"/>
    <s v="Furniture"/>
    <x v="2"/>
    <s v="Hon 61000 Series Interactive Training Tables"/>
    <n v="66.644999999999996"/>
    <n v="3"/>
    <n v="-42.652799999999999"/>
    <x v="2"/>
    <x v="1"/>
  </r>
  <r>
    <x v="243"/>
    <x v="225"/>
    <d v="2016-04-25T00:00:00"/>
    <x v="1"/>
    <s v="GM-14455"/>
    <s v="Gary Mitchum"/>
    <x v="2"/>
    <s v="United States"/>
    <x v="29"/>
    <x v="15"/>
    <x v="2"/>
    <s v="FUR-TA-10002622"/>
    <s v="Furniture"/>
    <x v="2"/>
    <s v="Bush Andora Conference Table, Maple/Graphite Gray Finish"/>
    <n v="205.17599999999999"/>
    <n v="2"/>
    <n v="-58.133200000000002"/>
    <x v="6"/>
    <x v="6"/>
  </r>
  <r>
    <x v="244"/>
    <x v="226"/>
    <d v="2014-04-08T00:00:00"/>
    <x v="2"/>
    <s v="SD-20485"/>
    <s v="Shirley Daniels"/>
    <x v="2"/>
    <s v="United States"/>
    <x v="3"/>
    <x v="3"/>
    <x v="2"/>
    <s v="FUR-TA-10001039"/>
    <s v="Furniture"/>
    <x v="2"/>
    <s v="KI Adjustable-Height Table"/>
    <n v="154.76400000000001"/>
    <n v="3"/>
    <n v="-36.111600000000003"/>
    <x v="3"/>
    <x v="6"/>
  </r>
  <r>
    <x v="245"/>
    <x v="227"/>
    <d v="2016-09-06T00:00:00"/>
    <x v="1"/>
    <s v="KD-16270"/>
    <s v="Karen Daniels"/>
    <x v="0"/>
    <s v="United States"/>
    <x v="13"/>
    <x v="7"/>
    <x v="2"/>
    <s v="FUR-FU-10001967"/>
    <s v="Furniture"/>
    <x v="3"/>
    <s v="Telescoping Adjustable Floor Lamp"/>
    <n v="39.979999999999997"/>
    <n v="2"/>
    <n v="9.9949999999999992"/>
    <x v="4"/>
    <x v="4"/>
  </r>
  <r>
    <x v="246"/>
    <x v="228"/>
    <d v="2016-09-30T00:00:00"/>
    <x v="1"/>
    <s v="AB-10105"/>
    <s v="Adrian Barton"/>
    <x v="0"/>
    <s v="United States"/>
    <x v="43"/>
    <x v="22"/>
    <x v="1"/>
    <s v="FUR-TA-10002356"/>
    <s v="Furniture"/>
    <x v="2"/>
    <s v="Bevis Boat-Shaped Conference Table"/>
    <n v="393.16500000000002"/>
    <n v="3"/>
    <n v="-204.44579999999999"/>
    <x v="2"/>
    <x v="4"/>
  </r>
  <r>
    <x v="247"/>
    <x v="229"/>
    <d v="2016-07-13T00:00:00"/>
    <x v="1"/>
    <s v="JD-15895"/>
    <s v="Jonathan Doherty"/>
    <x v="1"/>
    <s v="United States"/>
    <x v="13"/>
    <x v="7"/>
    <x v="2"/>
    <s v="FUR-CH-10002335"/>
    <s v="Furniture"/>
    <x v="1"/>
    <s v="Hon GuestStacker Chair"/>
    <n v="408.00599999999997"/>
    <n v="2"/>
    <n v="72.534400000000005"/>
    <x v="4"/>
    <x v="3"/>
  </r>
  <r>
    <x v="247"/>
    <x v="229"/>
    <d v="2016-07-13T00:00:00"/>
    <x v="1"/>
    <s v="JD-15895"/>
    <s v="Jonathan Doherty"/>
    <x v="1"/>
    <s v="United States"/>
    <x v="13"/>
    <x v="7"/>
    <x v="2"/>
    <s v="FUR-FU-10000723"/>
    <s v="Furniture"/>
    <x v="3"/>
    <s v="Deflect-o EconoMat Studded, No Bevel Mat for Low Pile Carpeting"/>
    <n v="165.28"/>
    <n v="4"/>
    <n v="14.8752"/>
    <x v="4"/>
    <x v="3"/>
  </r>
  <r>
    <x v="248"/>
    <x v="230"/>
    <d v="2017-01-31T00:00:00"/>
    <x v="0"/>
    <s v="BT-11305"/>
    <s v="Beth Thompson"/>
    <x v="2"/>
    <s v="United States"/>
    <x v="46"/>
    <x v="2"/>
    <x v="1"/>
    <s v="FUR-FU-10003976"/>
    <s v="Furniture"/>
    <x v="3"/>
    <s v="DAX Executive Solid Wood Document Frame, Desktop or Hang, Mahogany, 5 x 7"/>
    <n v="37.74"/>
    <n v="3"/>
    <n v="12.8316"/>
    <x v="0"/>
    <x v="8"/>
  </r>
  <r>
    <x v="249"/>
    <x v="231"/>
    <d v="2015-09-24T00:00:00"/>
    <x v="2"/>
    <s v="SV-20815"/>
    <s v="Stuart Van"/>
    <x v="1"/>
    <s v="United States"/>
    <x v="6"/>
    <x v="5"/>
    <x v="3"/>
    <s v="FUR-FU-10001706"/>
    <s v="Furniture"/>
    <x v="3"/>
    <s v="Longer-Life Soft White Bulbs"/>
    <n v="4.9279999999999999"/>
    <n v="4"/>
    <n v="-1.4783999999999999"/>
    <x v="0"/>
    <x v="4"/>
  </r>
  <r>
    <x v="250"/>
    <x v="232"/>
    <d v="2014-12-21T00:00:00"/>
    <x v="0"/>
    <s v="IM-15070"/>
    <s v="Irene Maddox"/>
    <x v="0"/>
    <s v="United States"/>
    <x v="73"/>
    <x v="33"/>
    <x v="0"/>
    <s v="FUR-CH-10000513"/>
    <s v="Furniture"/>
    <x v="1"/>
    <s v="High-Back Leather Manager's Chair"/>
    <n v="1819.86"/>
    <n v="14"/>
    <n v="163.78739999999999"/>
    <x v="3"/>
    <x v="5"/>
  </r>
  <r>
    <x v="251"/>
    <x v="233"/>
    <d v="2015-10-15T00:00:00"/>
    <x v="3"/>
    <s v="JE-15745"/>
    <s v="Joel Eaton"/>
    <x v="0"/>
    <s v="United States"/>
    <x v="45"/>
    <x v="5"/>
    <x v="3"/>
    <s v="FUR-CH-10002024"/>
    <s v="Furniture"/>
    <x v="1"/>
    <s v="HON 5400 Series Task Chairs for Big and Tall"/>
    <n v="2453.4299999999998"/>
    <n v="5"/>
    <n v="-350.49"/>
    <x v="7"/>
    <x v="1"/>
  </r>
  <r>
    <x v="252"/>
    <x v="234"/>
    <d v="2017-06-16T00:00:00"/>
    <x v="2"/>
    <s v="SD-20485"/>
    <s v="Shirley Daniels"/>
    <x v="2"/>
    <s v="United States"/>
    <x v="9"/>
    <x v="8"/>
    <x v="3"/>
    <s v="FUR-CH-10004289"/>
    <s v="Furniture"/>
    <x v="1"/>
    <s v="Global Super Steno Chair"/>
    <n v="470.30200000000002"/>
    <n v="7"/>
    <n v="-87.341800000000006"/>
    <x v="0"/>
    <x v="2"/>
  </r>
  <r>
    <x v="253"/>
    <x v="235"/>
    <d v="2017-06-19T00:00:00"/>
    <x v="1"/>
    <s v="ME-17320"/>
    <s v="Maria Etezadi"/>
    <x v="2"/>
    <s v="United States"/>
    <x v="29"/>
    <x v="24"/>
    <x v="0"/>
    <s v="FUR-TA-10002530"/>
    <s v="Furniture"/>
    <x v="2"/>
    <s v="Iceberg OfficeWorks 42&quot; Round Tables"/>
    <n v="452.94"/>
    <n v="3"/>
    <n v="67.941000000000003"/>
    <x v="1"/>
    <x v="2"/>
  </r>
  <r>
    <x v="254"/>
    <x v="236"/>
    <d v="2014-05-04T00:00:00"/>
    <x v="3"/>
    <s v="AA-10480"/>
    <s v="Andrew Allen"/>
    <x v="0"/>
    <s v="United States"/>
    <x v="108"/>
    <x v="19"/>
    <x v="2"/>
    <s v="FUR-FU-10001473"/>
    <s v="Furniture"/>
    <x v="3"/>
    <s v="DAX Wood Document Frame"/>
    <n v="27.46"/>
    <n v="2"/>
    <n v="9.8856000000000002"/>
    <x v="7"/>
    <x v="7"/>
  </r>
  <r>
    <x v="255"/>
    <x v="237"/>
    <d v="2016-03-15T00:00:00"/>
    <x v="1"/>
    <s v="MB-18085"/>
    <s v="Mick Brown"/>
    <x v="0"/>
    <s v="United States"/>
    <x v="109"/>
    <x v="18"/>
    <x v="2"/>
    <s v="FUR-TA-10001095"/>
    <s v="Furniture"/>
    <x v="2"/>
    <s v="Chromcraft Round Conference Tables"/>
    <n v="244.006"/>
    <n v="2"/>
    <n v="-31.372199999999999"/>
    <x v="4"/>
    <x v="9"/>
  </r>
  <r>
    <x v="256"/>
    <x v="238"/>
    <d v="2016-08-28T00:00:00"/>
    <x v="2"/>
    <s v="LC-16930"/>
    <s v="Linda Cazamias"/>
    <x v="1"/>
    <s v="United States"/>
    <x v="102"/>
    <x v="5"/>
    <x v="3"/>
    <s v="FUR-CH-10002126"/>
    <s v="Furniture"/>
    <x v="1"/>
    <s v="Hon Deluxe Fabric Upholstered Stacking Chairs"/>
    <n v="1024.7159999999999"/>
    <n v="6"/>
    <n v="-29.2776"/>
    <x v="3"/>
    <x v="10"/>
  </r>
  <r>
    <x v="257"/>
    <x v="98"/>
    <d v="2014-08-14T00:00:00"/>
    <x v="1"/>
    <s v="MB-17305"/>
    <s v="Maria Bertelson"/>
    <x v="0"/>
    <s v="United States"/>
    <x v="110"/>
    <x v="22"/>
    <x v="1"/>
    <s v="FUR-FU-10001602"/>
    <s v="Furniture"/>
    <x v="3"/>
    <s v="Eldon Delta Triangular Chair Mat, 52&quot; x 58&quot;, Clear"/>
    <n v="121.376"/>
    <n v="4"/>
    <n v="-3.0344000000000002"/>
    <x v="6"/>
    <x v="10"/>
  </r>
  <r>
    <x v="258"/>
    <x v="13"/>
    <d v="2017-12-13T00:00:00"/>
    <x v="1"/>
    <s v="DK-12835"/>
    <s v="Damala Kotsonis"/>
    <x v="1"/>
    <s v="United States"/>
    <x v="25"/>
    <x v="17"/>
    <x v="3"/>
    <s v="FUR-CH-10000847"/>
    <s v="Furniture"/>
    <x v="1"/>
    <s v="Global Executive Mid-Back Manager's Chair"/>
    <n v="872.94"/>
    <n v="3"/>
    <n v="226.96440000000001"/>
    <x v="4"/>
    <x v="5"/>
  </r>
  <r>
    <x v="259"/>
    <x v="239"/>
    <d v="2015-12-02T00:00:00"/>
    <x v="3"/>
    <s v="NM-18520"/>
    <s v="Neoma Murray"/>
    <x v="0"/>
    <s v="United States"/>
    <x v="6"/>
    <x v="5"/>
    <x v="3"/>
    <s v="FUR-FU-10004270"/>
    <s v="Furniture"/>
    <x v="3"/>
    <s v="Eldon Image Series Desk Accessories, Burgundy"/>
    <n v="6.6879999999999997"/>
    <n v="4"/>
    <n v="-4.0128000000000004"/>
    <x v="5"/>
    <x v="5"/>
  </r>
  <r>
    <x v="260"/>
    <x v="240"/>
    <d v="2015-11-07T00:00:00"/>
    <x v="1"/>
    <s v="CM-12655"/>
    <s v="Corinna Mitchell"/>
    <x v="2"/>
    <s v="United States"/>
    <x v="2"/>
    <x v="2"/>
    <x v="1"/>
    <s v="FUR-FU-10003347"/>
    <s v="Furniture"/>
    <x v="3"/>
    <s v="Coloredge Poster Frame"/>
    <n v="42.6"/>
    <n v="3"/>
    <n v="16.614000000000001"/>
    <x v="4"/>
    <x v="0"/>
  </r>
  <r>
    <x v="261"/>
    <x v="241"/>
    <d v="2017-11-28T00:00:00"/>
    <x v="1"/>
    <s v="TS-21370"/>
    <s v="Todd Sumrall"/>
    <x v="1"/>
    <s v="United States"/>
    <x v="13"/>
    <x v="7"/>
    <x v="2"/>
    <s v="FUR-CH-10000785"/>
    <s v="Furniture"/>
    <x v="1"/>
    <s v="Global Ergonomic Managers Chair"/>
    <n v="977.29200000000003"/>
    <n v="6"/>
    <n v="173.74080000000001"/>
    <x v="4"/>
    <x v="0"/>
  </r>
  <r>
    <x v="262"/>
    <x v="242"/>
    <d v="2017-11-03T00:00:00"/>
    <x v="1"/>
    <s v="JW-15220"/>
    <s v="Jane Waco"/>
    <x v="1"/>
    <s v="United States"/>
    <x v="57"/>
    <x v="13"/>
    <x v="1"/>
    <s v="FUR-FU-10002885"/>
    <s v="Furniture"/>
    <x v="3"/>
    <s v="Magna Visual Magnetic Picture Hangers"/>
    <n v="9.64"/>
    <n v="2"/>
    <n v="3.6631999999999998"/>
    <x v="4"/>
    <x v="1"/>
  </r>
  <r>
    <x v="263"/>
    <x v="243"/>
    <d v="2016-12-01T00:00:00"/>
    <x v="1"/>
    <s v="AT-10435"/>
    <s v="Alyssa Tate"/>
    <x v="2"/>
    <s v="United States"/>
    <x v="2"/>
    <x v="2"/>
    <x v="1"/>
    <s v="FUR-FU-10000010"/>
    <s v="Furniture"/>
    <x v="3"/>
    <s v="DAX Value U-Channel Document Frames, Easel Back"/>
    <n v="9.94"/>
    <n v="2"/>
    <n v="3.0813999999999999"/>
    <x v="1"/>
    <x v="0"/>
  </r>
  <r>
    <x v="264"/>
    <x v="244"/>
    <d v="2015-08-07T00:00:00"/>
    <x v="1"/>
    <s v="PC-19000"/>
    <s v="Pauline Chand"/>
    <x v="2"/>
    <s v="United States"/>
    <x v="2"/>
    <x v="2"/>
    <x v="1"/>
    <s v="FUR-TA-10003715"/>
    <s v="Furniture"/>
    <x v="2"/>
    <s v="Hon 2111 Invitation Series Corner Table"/>
    <n v="1004.976"/>
    <n v="6"/>
    <n v="-175.8708"/>
    <x v="6"/>
    <x v="10"/>
  </r>
  <r>
    <x v="265"/>
    <x v="245"/>
    <d v="2017-09-15T00:00:00"/>
    <x v="2"/>
    <s v="JM-15535"/>
    <s v="Jessica Myrick"/>
    <x v="0"/>
    <s v="United States"/>
    <x v="2"/>
    <x v="2"/>
    <x v="1"/>
    <s v="FUR-FU-10004270"/>
    <s v="Furniture"/>
    <x v="3"/>
    <s v="Eldon Image Series Desk Accessories, Burgundy"/>
    <n v="8.36"/>
    <n v="2"/>
    <n v="3.0095999999999998"/>
    <x v="0"/>
    <x v="4"/>
  </r>
  <r>
    <x v="266"/>
    <x v="246"/>
    <d v="2017-12-17T00:00:00"/>
    <x v="1"/>
    <s v="AI-10855"/>
    <s v="Arianne Irving"/>
    <x v="0"/>
    <s v="United States"/>
    <x v="3"/>
    <x v="3"/>
    <x v="2"/>
    <s v="FUR-CH-10002961"/>
    <s v="Furniture"/>
    <x v="1"/>
    <s v="Leather Task Chair, Black"/>
    <n v="63.686"/>
    <n v="1"/>
    <n v="-9.0980000000000008"/>
    <x v="6"/>
    <x v="5"/>
  </r>
  <r>
    <x v="267"/>
    <x v="247"/>
    <d v="2017-12-14T00:00:00"/>
    <x v="0"/>
    <s v="MC-17845"/>
    <s v="Michael Chen"/>
    <x v="0"/>
    <s v="United States"/>
    <x v="111"/>
    <x v="34"/>
    <x v="1"/>
    <s v="FUR-TA-10004256"/>
    <s v="Furniture"/>
    <x v="2"/>
    <s v="Bretford ÒJust In TimeÓ Height-Adjustable Multi-Task Work Tables"/>
    <n v="1669.6"/>
    <n v="4"/>
    <n v="116.872"/>
    <x v="4"/>
    <x v="5"/>
  </r>
  <r>
    <x v="268"/>
    <x v="248"/>
    <d v="2015-12-11T00:00:00"/>
    <x v="1"/>
    <s v="GH-14425"/>
    <s v="Gary Hwang"/>
    <x v="0"/>
    <s v="United States"/>
    <x v="104"/>
    <x v="22"/>
    <x v="1"/>
    <s v="FUR-FU-10002253"/>
    <s v="Furniture"/>
    <x v="3"/>
    <s v="Howard Miller 13&quot; Diameter Pewter Finish Round Wall Clock"/>
    <n v="206.11199999999999"/>
    <n v="6"/>
    <n v="48.951599999999999"/>
    <x v="2"/>
    <x v="5"/>
  </r>
  <r>
    <x v="269"/>
    <x v="249"/>
    <d v="2016-07-27T00:00:00"/>
    <x v="1"/>
    <s v="CJ-12010"/>
    <s v="Caroline Jumper"/>
    <x v="0"/>
    <s v="United States"/>
    <x v="112"/>
    <x v="3"/>
    <x v="2"/>
    <s v="FUR-FU-10002456"/>
    <s v="Furniture"/>
    <x v="3"/>
    <s v="Master Caster Door Stop, Large Neon Orange"/>
    <n v="11.648"/>
    <n v="2"/>
    <n v="3.3488000000000002"/>
    <x v="2"/>
    <x v="3"/>
  </r>
  <r>
    <x v="270"/>
    <x v="250"/>
    <d v="2017-02-14T00:00:00"/>
    <x v="1"/>
    <s v="MP-18175"/>
    <s v="Mike Pelletier"/>
    <x v="2"/>
    <s v="United States"/>
    <x v="113"/>
    <x v="2"/>
    <x v="1"/>
    <s v="FUR-BO-10004015"/>
    <s v="Furniture"/>
    <x v="0"/>
    <s v="Bush Andora Bookcase, Maple/Graphite Gray Finish"/>
    <n v="203.983"/>
    <n v="2"/>
    <n v="16.7986"/>
    <x v="4"/>
    <x v="11"/>
  </r>
  <r>
    <x v="271"/>
    <x v="102"/>
    <d v="2017-09-17T00:00:00"/>
    <x v="0"/>
    <s v="CL-11890"/>
    <s v="Carl Ludwig"/>
    <x v="0"/>
    <s v="United States"/>
    <x v="114"/>
    <x v="20"/>
    <x v="2"/>
    <s v="FUR-BO-10002545"/>
    <s v="Furniture"/>
    <x v="0"/>
    <s v="Atlantic Metals Mobile 3-Shelf Bookcases, Custom Colors"/>
    <n v="782.94"/>
    <n v="3"/>
    <n v="203.56440000000001"/>
    <x v="3"/>
    <x v="4"/>
  </r>
  <r>
    <x v="272"/>
    <x v="251"/>
    <d v="2014-03-16T00:00:00"/>
    <x v="0"/>
    <s v="CK-12205"/>
    <s v="Chloris Kastensmidt"/>
    <x v="0"/>
    <s v="United States"/>
    <x v="29"/>
    <x v="15"/>
    <x v="2"/>
    <s v="FUR-FU-10003981"/>
    <s v="Furniture"/>
    <x v="3"/>
    <s v="Eldon Wave Desk Accessories"/>
    <n v="8.32"/>
    <n v="5"/>
    <n v="2.2879999999999998"/>
    <x v="2"/>
    <x v="9"/>
  </r>
  <r>
    <x v="273"/>
    <x v="252"/>
    <d v="2015-01-04T00:00:00"/>
    <x v="0"/>
    <s v="PC-18745"/>
    <s v="Pamela Coakley"/>
    <x v="1"/>
    <s v="United States"/>
    <x v="115"/>
    <x v="7"/>
    <x v="2"/>
    <s v="FUR-BO-10002613"/>
    <s v="Furniture"/>
    <x v="0"/>
    <s v="Atlantic Metals Mobile 4-Shelf Bookcases, Custom Colors"/>
    <n v="1573.4880000000001"/>
    <n v="7"/>
    <n v="196.68600000000001"/>
    <x v="4"/>
    <x v="5"/>
  </r>
  <r>
    <x v="274"/>
    <x v="253"/>
    <d v="2015-03-18T00:00:00"/>
    <x v="0"/>
    <s v="JE-15475"/>
    <s v="Jeremy Ellison"/>
    <x v="0"/>
    <s v="United States"/>
    <x v="15"/>
    <x v="13"/>
    <x v="1"/>
    <s v="FUR-TA-10001039"/>
    <s v="Furniture"/>
    <x v="2"/>
    <s v="KI Adjustable-Height Table"/>
    <n v="171.96"/>
    <n v="2"/>
    <n v="44.709600000000002"/>
    <x v="3"/>
    <x v="9"/>
  </r>
  <r>
    <x v="275"/>
    <x v="254"/>
    <d v="2017-06-30T00:00:00"/>
    <x v="3"/>
    <s v="SG-20470"/>
    <s v="Sheri Gordon"/>
    <x v="0"/>
    <s v="United States"/>
    <x v="13"/>
    <x v="7"/>
    <x v="2"/>
    <s v="FUR-TA-10000577"/>
    <s v="Furniture"/>
    <x v="2"/>
    <s v="Bretford CR4500 Series Slim Rectangular Table"/>
    <n v="1044.6300000000001"/>
    <n v="5"/>
    <n v="-295.9785"/>
    <x v="7"/>
    <x v="2"/>
  </r>
  <r>
    <x v="276"/>
    <x v="255"/>
    <d v="2014-11-25T00:00:00"/>
    <x v="2"/>
    <s v="SC-20095"/>
    <s v="Sanjit Chand"/>
    <x v="0"/>
    <s v="United States"/>
    <x v="2"/>
    <x v="2"/>
    <x v="1"/>
    <s v="FUR-CH-10000863"/>
    <s v="Furniture"/>
    <x v="1"/>
    <s v="Novimex Swivel Fabric Task Chair"/>
    <n v="603.91999999999996"/>
    <n v="5"/>
    <n v="-67.941000000000003"/>
    <x v="3"/>
    <x v="0"/>
  </r>
  <r>
    <x v="276"/>
    <x v="255"/>
    <d v="2014-11-25T00:00:00"/>
    <x v="2"/>
    <s v="SC-20095"/>
    <s v="Sanjit Chand"/>
    <x v="0"/>
    <s v="United States"/>
    <x v="2"/>
    <x v="2"/>
    <x v="1"/>
    <s v="FUR-CH-10000595"/>
    <s v="Furniture"/>
    <x v="1"/>
    <s v="Safco Contoured Stacking Chairs"/>
    <n v="381.44"/>
    <n v="2"/>
    <n v="23.84"/>
    <x v="3"/>
    <x v="0"/>
  </r>
  <r>
    <x v="277"/>
    <x v="256"/>
    <d v="2014-12-18T00:00:00"/>
    <x v="2"/>
    <s v="MC-18100"/>
    <s v="Mick Crebagga"/>
    <x v="0"/>
    <s v="United States"/>
    <x v="116"/>
    <x v="5"/>
    <x v="3"/>
    <s v="FUR-CH-10004675"/>
    <s v="Furniture"/>
    <x v="1"/>
    <s v="Lifetime Advantage Folding Chairs, 4/Carton"/>
    <n v="763.28"/>
    <n v="5"/>
    <n v="-21.808"/>
    <x v="0"/>
    <x v="5"/>
  </r>
  <r>
    <x v="278"/>
    <x v="38"/>
    <d v="2015-08-12T00:00:00"/>
    <x v="2"/>
    <s v="NP-18325"/>
    <s v="Naresj Patel"/>
    <x v="0"/>
    <s v="United States"/>
    <x v="13"/>
    <x v="7"/>
    <x v="2"/>
    <s v="FUR-TA-10002607"/>
    <s v="Furniture"/>
    <x v="2"/>
    <s v="KI Conference Tables"/>
    <n v="382.80599999999998"/>
    <n v="9"/>
    <n v="-153.1224"/>
    <x v="0"/>
    <x v="10"/>
  </r>
  <r>
    <x v="278"/>
    <x v="38"/>
    <d v="2015-08-12T00:00:00"/>
    <x v="2"/>
    <s v="NP-18325"/>
    <s v="Naresj Patel"/>
    <x v="0"/>
    <s v="United States"/>
    <x v="13"/>
    <x v="7"/>
    <x v="2"/>
    <s v="FUR-FU-10002157"/>
    <s v="Furniture"/>
    <x v="3"/>
    <s v="Artistic Insta-Plaque"/>
    <n v="47.04"/>
    <n v="3"/>
    <n v="18.345600000000001"/>
    <x v="0"/>
    <x v="10"/>
  </r>
  <r>
    <x v="278"/>
    <x v="38"/>
    <d v="2015-08-12T00:00:00"/>
    <x v="2"/>
    <s v="NP-18325"/>
    <s v="Naresj Patel"/>
    <x v="0"/>
    <s v="United States"/>
    <x v="13"/>
    <x v="7"/>
    <x v="2"/>
    <s v="FUR-FU-10001706"/>
    <s v="Furniture"/>
    <x v="3"/>
    <s v="Longer-Life Soft White Bulbs"/>
    <n v="6.16"/>
    <n v="2"/>
    <n v="2.9567999999999999"/>
    <x v="0"/>
    <x v="10"/>
  </r>
  <r>
    <x v="279"/>
    <x v="257"/>
    <d v="2015-03-27T00:00:00"/>
    <x v="2"/>
    <s v="DP-13390"/>
    <s v="Dennis Pardue"/>
    <x v="2"/>
    <s v="United States"/>
    <x v="117"/>
    <x v="8"/>
    <x v="3"/>
    <s v="FUR-BO-10000362"/>
    <s v="Furniture"/>
    <x v="0"/>
    <s v="Sauder Inglewood Library Bookcases"/>
    <n v="359.05799999999999"/>
    <n v="3"/>
    <n v="-35.905799999999999"/>
    <x v="0"/>
    <x v="9"/>
  </r>
  <r>
    <x v="280"/>
    <x v="258"/>
    <d v="2017-05-12T00:00:00"/>
    <x v="1"/>
    <s v="MD-17350"/>
    <s v="Maribeth Dona"/>
    <x v="0"/>
    <s v="United States"/>
    <x v="29"/>
    <x v="15"/>
    <x v="2"/>
    <s v="FUR-CH-10004540"/>
    <s v="Furniture"/>
    <x v="1"/>
    <s v="Global Chrome Stack Chair"/>
    <n v="47.991999999999997"/>
    <n v="2"/>
    <n v="-2.0568"/>
    <x v="4"/>
    <x v="7"/>
  </r>
  <r>
    <x v="281"/>
    <x v="259"/>
    <d v="2017-10-18T00:00:00"/>
    <x v="2"/>
    <s v="MY-17380"/>
    <s v="Maribeth Yedwab"/>
    <x v="1"/>
    <s v="United States"/>
    <x v="13"/>
    <x v="7"/>
    <x v="2"/>
    <s v="FUR-FU-10001290"/>
    <s v="Furniture"/>
    <x v="3"/>
    <s v="Executive Impressions Supervisor Wall Clock"/>
    <n v="547.29999999999995"/>
    <n v="13"/>
    <n v="175.136"/>
    <x v="3"/>
    <x v="1"/>
  </r>
  <r>
    <x v="282"/>
    <x v="49"/>
    <d v="2017-11-21T00:00:00"/>
    <x v="0"/>
    <s v="AB-10150"/>
    <s v="Aimee Bixby"/>
    <x v="0"/>
    <s v="United States"/>
    <x v="118"/>
    <x v="5"/>
    <x v="3"/>
    <s v="FUR-FU-10001967"/>
    <s v="Furniture"/>
    <x v="3"/>
    <s v="Telescoping Adjustable Floor Lamp"/>
    <n v="15.992000000000001"/>
    <n v="2"/>
    <n v="-13.993"/>
    <x v="3"/>
    <x v="0"/>
  </r>
  <r>
    <x v="283"/>
    <x v="260"/>
    <d v="2016-05-13T00:00:00"/>
    <x v="0"/>
    <s v="GB-14530"/>
    <s v="George Bell"/>
    <x v="1"/>
    <s v="United States"/>
    <x v="63"/>
    <x v="14"/>
    <x v="2"/>
    <s v="FUR-FU-10001488"/>
    <s v="Furniture"/>
    <x v="3"/>
    <s v="Tenex 46&quot; x 60&quot; Computer Anti-Static Chairmat, Rectangular Shaped"/>
    <n v="211.96"/>
    <n v="2"/>
    <n v="42.392000000000003"/>
    <x v="2"/>
    <x v="7"/>
  </r>
  <r>
    <x v="284"/>
    <x v="261"/>
    <d v="2014-05-30T00:00:00"/>
    <x v="1"/>
    <s v="ML-17395"/>
    <s v="Marina Lichtenstein"/>
    <x v="1"/>
    <s v="United States"/>
    <x v="2"/>
    <x v="2"/>
    <x v="1"/>
    <s v="FUR-BO-10000362"/>
    <s v="Furniture"/>
    <x v="0"/>
    <s v="Sauder Inglewood Library Bookcases"/>
    <n v="290.666"/>
    <n v="2"/>
    <n v="27.3568"/>
    <x v="4"/>
    <x v="7"/>
  </r>
  <r>
    <x v="285"/>
    <x v="220"/>
    <d v="2017-07-15T00:00:00"/>
    <x v="1"/>
    <s v="JC-15385"/>
    <s v="Jenna Caffey"/>
    <x v="0"/>
    <s v="United States"/>
    <x v="119"/>
    <x v="13"/>
    <x v="1"/>
    <s v="FUR-FU-10002937"/>
    <s v="Furniture"/>
    <x v="3"/>
    <s v="GE 48&quot; Fluorescent Tube, Cool White Energy Saver, 34 Watts, 30/Box"/>
    <n v="198.46"/>
    <n v="2"/>
    <n v="99.23"/>
    <x v="1"/>
    <x v="3"/>
  </r>
  <r>
    <x v="286"/>
    <x v="262"/>
    <d v="2015-09-30T00:00:00"/>
    <x v="1"/>
    <s v="MC-17275"/>
    <s v="Marc Crier"/>
    <x v="0"/>
    <s v="United States"/>
    <x v="120"/>
    <x v="35"/>
    <x v="0"/>
    <s v="FUR-CH-10001270"/>
    <s v="Furniture"/>
    <x v="1"/>
    <s v="Harbour Creations Steel Folding Chair"/>
    <n v="517.5"/>
    <n v="6"/>
    <n v="155.25"/>
    <x v="6"/>
    <x v="4"/>
  </r>
  <r>
    <x v="287"/>
    <x v="263"/>
    <d v="2017-06-25T00:00:00"/>
    <x v="0"/>
    <s v="AS-10240"/>
    <s v="Alan Shonely"/>
    <x v="0"/>
    <s v="United States"/>
    <x v="59"/>
    <x v="15"/>
    <x v="2"/>
    <s v="FUR-FU-10004415"/>
    <s v="Furniture"/>
    <x v="3"/>
    <s v="Stacking Tray, Side-Loading, Legal, Smoke"/>
    <n v="17.920000000000002"/>
    <n v="5"/>
    <n v="2.464"/>
    <x v="4"/>
    <x v="2"/>
  </r>
  <r>
    <x v="288"/>
    <x v="205"/>
    <d v="2016-06-01T00:00:00"/>
    <x v="1"/>
    <s v="TB-21280"/>
    <s v="Toby Braunhardt"/>
    <x v="0"/>
    <s v="United States"/>
    <x v="85"/>
    <x v="29"/>
    <x v="2"/>
    <s v="FUR-FU-10000629"/>
    <s v="Furniture"/>
    <x v="3"/>
    <s v="9-3/4 Diameter Round Wall Clock"/>
    <n v="41.37"/>
    <n v="3"/>
    <n v="17.375399999999999"/>
    <x v="6"/>
    <x v="7"/>
  </r>
  <r>
    <x v="289"/>
    <x v="264"/>
    <d v="2014-05-15T00:00:00"/>
    <x v="2"/>
    <s v="HL-15040"/>
    <s v="Hunter Lopez"/>
    <x v="0"/>
    <s v="United States"/>
    <x v="79"/>
    <x v="16"/>
    <x v="3"/>
    <s v="FUR-FU-10000010"/>
    <s v="Furniture"/>
    <x v="3"/>
    <s v="DAX Value U-Channel Document Frames, Easel Back"/>
    <n v="34.79"/>
    <n v="7"/>
    <n v="10.7849"/>
    <x v="0"/>
    <x v="7"/>
  </r>
  <r>
    <x v="290"/>
    <x v="265"/>
    <d v="2015-01-15T00:00:00"/>
    <x v="1"/>
    <s v="MM-17920"/>
    <s v="Michael Moore"/>
    <x v="0"/>
    <s v="United States"/>
    <x v="13"/>
    <x v="7"/>
    <x v="2"/>
    <s v="FUR-TA-10001889"/>
    <s v="Furniture"/>
    <x v="2"/>
    <s v="Bush Advantage Collection Racetrack Conference Table"/>
    <n v="1018.104"/>
    <n v="4"/>
    <n v="-373.3048"/>
    <x v="2"/>
    <x v="8"/>
  </r>
  <r>
    <x v="291"/>
    <x v="5"/>
    <d v="2015-09-21T00:00:00"/>
    <x v="1"/>
    <s v="SF-20965"/>
    <s v="Sylvia Foulston"/>
    <x v="1"/>
    <s v="United States"/>
    <x v="6"/>
    <x v="5"/>
    <x v="3"/>
    <s v="FUR-FU-10003535"/>
    <s v="Furniture"/>
    <x v="3"/>
    <s v="Howard Miller Distant Time Traveler Alarm Clock"/>
    <n v="21.936"/>
    <n v="2"/>
    <n v="-10.419600000000001"/>
    <x v="4"/>
    <x v="4"/>
  </r>
  <r>
    <x v="292"/>
    <x v="266"/>
    <d v="2014-09-13T00:00:00"/>
    <x v="1"/>
    <s v="SB-20290"/>
    <s v="Sean Braxton"/>
    <x v="1"/>
    <s v="United States"/>
    <x v="3"/>
    <x v="3"/>
    <x v="2"/>
    <s v="FUR-FU-10000758"/>
    <s v="Furniture"/>
    <x v="3"/>
    <s v="DAX Natural Wood-Tone Poster Frame"/>
    <n v="42.368000000000002"/>
    <n v="2"/>
    <n v="8.4735999999999994"/>
    <x v="6"/>
    <x v="4"/>
  </r>
  <r>
    <x v="293"/>
    <x v="267"/>
    <d v="2016-11-12T00:00:00"/>
    <x v="1"/>
    <s v="CB-12535"/>
    <s v="Claudia Bergmann"/>
    <x v="1"/>
    <s v="United States"/>
    <x v="28"/>
    <x v="2"/>
    <x v="1"/>
    <s v="FUR-FU-10002597"/>
    <s v="Furniture"/>
    <x v="3"/>
    <s v="C-Line Magnetic Cubicle Keepers, Clear Polypropylene"/>
    <n v="14.82"/>
    <n v="3"/>
    <n v="6.2244000000000002"/>
    <x v="2"/>
    <x v="0"/>
  </r>
  <r>
    <x v="294"/>
    <x v="247"/>
    <d v="2017-12-12T00:00:00"/>
    <x v="2"/>
    <s v="AW-10840"/>
    <s v="Anthony Witt"/>
    <x v="0"/>
    <s v="United States"/>
    <x v="3"/>
    <x v="3"/>
    <x v="2"/>
    <s v="FUR-FU-10004306"/>
    <s v="Furniture"/>
    <x v="3"/>
    <s v="Electrix Halogen Magnifier Lamp"/>
    <n v="310.88"/>
    <n v="2"/>
    <n v="23.315999999999999"/>
    <x v="3"/>
    <x v="5"/>
  </r>
  <r>
    <x v="295"/>
    <x v="268"/>
    <d v="2014-08-20T00:00:00"/>
    <x v="1"/>
    <s v="TS-21610"/>
    <s v="Troy Staebel"/>
    <x v="0"/>
    <s v="United States"/>
    <x v="3"/>
    <x v="3"/>
    <x v="2"/>
    <s v="FUR-TA-10001539"/>
    <s v="Furniture"/>
    <x v="2"/>
    <s v="Chromcraft Rectangular Conference Tables"/>
    <n v="853.09199999999998"/>
    <n v="6"/>
    <n v="-227.49119999999999"/>
    <x v="4"/>
    <x v="10"/>
  </r>
  <r>
    <x v="296"/>
    <x v="269"/>
    <d v="2016-03-19T00:00:00"/>
    <x v="1"/>
    <s v="HZ-14950"/>
    <s v="Henia Zydlo"/>
    <x v="0"/>
    <s v="United States"/>
    <x v="29"/>
    <x v="15"/>
    <x v="2"/>
    <s v="FUR-FU-10004020"/>
    <s v="Furniture"/>
    <x v="3"/>
    <s v="Advantus Panel Wall Acrylic Frame"/>
    <n v="21.88"/>
    <n v="5"/>
    <n v="6.2904999999999998"/>
    <x v="2"/>
    <x v="9"/>
  </r>
  <r>
    <x v="297"/>
    <x v="270"/>
    <d v="2014-06-07T00:00:00"/>
    <x v="0"/>
    <s v="SC-20725"/>
    <s v="Steven Cartwright"/>
    <x v="0"/>
    <s v="United States"/>
    <x v="15"/>
    <x v="13"/>
    <x v="1"/>
    <s v="FUR-TA-10004086"/>
    <s v="Furniture"/>
    <x v="2"/>
    <s v="KI Adjustable-Height Table"/>
    <n v="515.88"/>
    <n v="6"/>
    <n v="113.4936"/>
    <x v="4"/>
    <x v="2"/>
  </r>
  <r>
    <x v="298"/>
    <x v="271"/>
    <d v="2015-07-15T00:00:00"/>
    <x v="0"/>
    <s v="ND-18370"/>
    <s v="Natalie DeCherney"/>
    <x v="0"/>
    <s v="United States"/>
    <x v="13"/>
    <x v="7"/>
    <x v="2"/>
    <s v="FUR-CH-10000595"/>
    <s v="Furniture"/>
    <x v="1"/>
    <s v="Safco Contoured Stacking Chairs"/>
    <n v="1931.04"/>
    <n v="9"/>
    <n v="321.83999999999997"/>
    <x v="3"/>
    <x v="3"/>
  </r>
  <r>
    <x v="299"/>
    <x v="242"/>
    <d v="2017-11-05T00:00:00"/>
    <x v="1"/>
    <s v="JK-15205"/>
    <s v="Jamie Kunitz"/>
    <x v="0"/>
    <s v="United States"/>
    <x v="28"/>
    <x v="2"/>
    <x v="1"/>
    <s v="FUR-CH-10003061"/>
    <s v="Furniture"/>
    <x v="1"/>
    <s v="Global Leather Task Chair, Black"/>
    <n v="71.992000000000004"/>
    <n v="1"/>
    <n v="-0.89990000000000003"/>
    <x v="6"/>
    <x v="1"/>
  </r>
  <r>
    <x v="300"/>
    <x v="272"/>
    <d v="2017-09-13T00:00:00"/>
    <x v="0"/>
    <s v="MM-18055"/>
    <s v="Michelle Moray"/>
    <x v="0"/>
    <s v="United States"/>
    <x v="9"/>
    <x v="8"/>
    <x v="3"/>
    <s v="FUR-TA-10004289"/>
    <s v="Furniture"/>
    <x v="2"/>
    <s v="BoxOffice By Design Rectangular and Half-Moon Meeting Room Tables"/>
    <n v="765.625"/>
    <n v="7"/>
    <n v="-566.5625"/>
    <x v="2"/>
    <x v="4"/>
  </r>
  <r>
    <x v="301"/>
    <x v="273"/>
    <d v="2017-10-13T00:00:00"/>
    <x v="1"/>
    <s v="DC-13285"/>
    <s v="Debra Catini"/>
    <x v="0"/>
    <s v="United States"/>
    <x v="28"/>
    <x v="2"/>
    <x v="1"/>
    <s v="FUR-BO-10003965"/>
    <s v="Furniture"/>
    <x v="0"/>
    <s v="O'Sullivan Manor Hill 2-Door Library in Brianna Oak"/>
    <n v="307.666"/>
    <n v="2"/>
    <n v="-14.478400000000001"/>
    <x v="6"/>
    <x v="1"/>
  </r>
  <r>
    <x v="302"/>
    <x v="128"/>
    <d v="2016-05-24T00:00:00"/>
    <x v="1"/>
    <s v="BN-11515"/>
    <s v="Bradley Nguyen"/>
    <x v="0"/>
    <s v="United States"/>
    <x v="13"/>
    <x v="7"/>
    <x v="2"/>
    <s v="FUR-FU-10002088"/>
    <s v="Furniture"/>
    <x v="3"/>
    <s v="Nu-Dell Float Frame 11 x 14 1/2"/>
    <n v="35.92"/>
    <n v="4"/>
    <n v="15.086399999999999"/>
    <x v="2"/>
    <x v="7"/>
  </r>
  <r>
    <x v="302"/>
    <x v="128"/>
    <d v="2016-05-24T00:00:00"/>
    <x v="1"/>
    <s v="BN-11515"/>
    <s v="Bradley Nguyen"/>
    <x v="0"/>
    <s v="United States"/>
    <x v="13"/>
    <x v="7"/>
    <x v="2"/>
    <s v="FUR-FU-10000010"/>
    <s v="Furniture"/>
    <x v="3"/>
    <s v="DAX Value U-Channel Document Frames, Easel Back"/>
    <n v="39.76"/>
    <n v="8"/>
    <n v="12.3256"/>
    <x v="2"/>
    <x v="7"/>
  </r>
  <r>
    <x v="303"/>
    <x v="274"/>
    <d v="2015-12-25T00:00:00"/>
    <x v="1"/>
    <s v="KD-16345"/>
    <s v="Katherine Ducich"/>
    <x v="0"/>
    <s v="United States"/>
    <x v="9"/>
    <x v="8"/>
    <x v="3"/>
    <s v="FUR-BO-10003966"/>
    <s v="Furniture"/>
    <x v="0"/>
    <s v="Sauder Facets Collection Library, Sky Alder Finish"/>
    <n v="359.05799999999999"/>
    <n v="3"/>
    <n v="-71.811599999999999"/>
    <x v="2"/>
    <x v="5"/>
  </r>
  <r>
    <x v="304"/>
    <x v="275"/>
    <d v="2017-05-04T00:00:00"/>
    <x v="0"/>
    <s v="FM-14215"/>
    <s v="Filia McAdams"/>
    <x v="1"/>
    <s v="United States"/>
    <x v="24"/>
    <x v="15"/>
    <x v="2"/>
    <s v="FUR-TA-10001307"/>
    <s v="Furniture"/>
    <x v="2"/>
    <s v="SAFCO PlanMaster Heigh-Adjustable Drafting Table Base, 43w x 30d x 30-37h, Black"/>
    <n v="1048.3499999999999"/>
    <n v="5"/>
    <n v="-69.89"/>
    <x v="2"/>
    <x v="6"/>
  </r>
  <r>
    <x v="305"/>
    <x v="242"/>
    <d v="2017-11-03T00:00:00"/>
    <x v="1"/>
    <s v="MC-18100"/>
    <s v="Mick Crebagga"/>
    <x v="0"/>
    <s v="United States"/>
    <x v="3"/>
    <x v="3"/>
    <x v="2"/>
    <s v="FUR-FU-10004415"/>
    <s v="Furniture"/>
    <x v="3"/>
    <s v="Stacking Tray, Side-Loading, Legal, Smoke"/>
    <n v="7.1680000000000001"/>
    <n v="2"/>
    <n v="0.98560000000000003"/>
    <x v="4"/>
    <x v="1"/>
  </r>
  <r>
    <x v="306"/>
    <x v="276"/>
    <d v="2015-11-27T00:00:00"/>
    <x v="1"/>
    <s v="MO-17800"/>
    <s v="Meg O'Connel"/>
    <x v="2"/>
    <s v="United States"/>
    <x v="21"/>
    <x v="5"/>
    <x v="3"/>
    <s v="FUR-TA-10004607"/>
    <s v="Furniture"/>
    <x v="2"/>
    <s v="Hon 2111 Invitation Series Straight Table"/>
    <n v="206.96199999999999"/>
    <n v="2"/>
    <n v="-32.522599999999997"/>
    <x v="2"/>
    <x v="0"/>
  </r>
  <r>
    <x v="307"/>
    <x v="277"/>
    <d v="2017-10-17T00:00:00"/>
    <x v="2"/>
    <s v="JW-15955"/>
    <s v="Joni Wasserman"/>
    <x v="0"/>
    <s v="United States"/>
    <x v="121"/>
    <x v="2"/>
    <x v="1"/>
    <s v="FUR-FU-10001918"/>
    <s v="Furniture"/>
    <x v="3"/>
    <s v="C-Line Cubicle Keepers Polyproplyene Holder With Velcro Backings"/>
    <n v="9.4600000000000009"/>
    <n v="2"/>
    <n v="3.6894"/>
    <x v="0"/>
    <x v="1"/>
  </r>
  <r>
    <x v="308"/>
    <x v="278"/>
    <d v="2015-09-09T00:00:00"/>
    <x v="1"/>
    <s v="AG-10900"/>
    <s v="Arthur Gainer"/>
    <x v="0"/>
    <s v="United States"/>
    <x v="53"/>
    <x v="2"/>
    <x v="1"/>
    <s v="FUR-BO-10000330"/>
    <s v="Furniture"/>
    <x v="0"/>
    <s v="Sauder Camden County Barrister Bookcase, Planked Cherry Finish"/>
    <n v="411.33199999999999"/>
    <n v="4"/>
    <n v="-4.8391999999999999"/>
    <x v="4"/>
    <x v="4"/>
  </r>
  <r>
    <x v="308"/>
    <x v="278"/>
    <d v="2015-09-09T00:00:00"/>
    <x v="1"/>
    <s v="AG-10900"/>
    <s v="Arthur Gainer"/>
    <x v="0"/>
    <s v="United States"/>
    <x v="53"/>
    <x v="2"/>
    <x v="1"/>
    <s v="FUR-BO-10003159"/>
    <s v="Furniture"/>
    <x v="0"/>
    <s v="Sauder Camden County Collection Libraries, Planked Cherry Finish"/>
    <n v="293.19900000000001"/>
    <n v="3"/>
    <n v="-20.696400000000001"/>
    <x v="4"/>
    <x v="4"/>
  </r>
  <r>
    <x v="309"/>
    <x v="279"/>
    <d v="2016-08-08T00:00:00"/>
    <x v="1"/>
    <s v="ML-17755"/>
    <s v="Max Ludwig"/>
    <x v="2"/>
    <s v="United States"/>
    <x v="122"/>
    <x v="25"/>
    <x v="0"/>
    <s v="FUR-FU-10001591"/>
    <s v="Furniture"/>
    <x v="3"/>
    <s v="Advantus Panel Wall Certificate Holder - 8.5x11"/>
    <n v="109.8"/>
    <n v="9"/>
    <n v="46.116"/>
    <x v="4"/>
    <x v="10"/>
  </r>
  <r>
    <x v="310"/>
    <x v="280"/>
    <d v="2014-12-03T00:00:00"/>
    <x v="2"/>
    <s v="RP-19390"/>
    <s v="Resi Pšlking"/>
    <x v="0"/>
    <s v="United States"/>
    <x v="123"/>
    <x v="16"/>
    <x v="3"/>
    <s v="FUR-CH-10001854"/>
    <s v="Furniture"/>
    <x v="1"/>
    <s v="Office Star - Professional Matrix Back Chair with 2-to-1 Synchro Tilt and Mesh Fabric Seat"/>
    <n v="2807.84"/>
    <n v="8"/>
    <n v="673.88160000000005"/>
    <x v="3"/>
    <x v="5"/>
  </r>
  <r>
    <x v="311"/>
    <x v="281"/>
    <d v="2016-07-11T00:00:00"/>
    <x v="1"/>
    <s v="RM-19375"/>
    <s v="Raymond Messe"/>
    <x v="0"/>
    <s v="United States"/>
    <x v="124"/>
    <x v="2"/>
    <x v="1"/>
    <s v="FUR-FU-10003039"/>
    <s v="Furniture"/>
    <x v="3"/>
    <s v="Howard Miller 11-1/2&quot; Diameter Grantwood Wall Clock"/>
    <n v="215.65"/>
    <n v="5"/>
    <n v="73.320999999999998"/>
    <x v="4"/>
    <x v="3"/>
  </r>
  <r>
    <x v="312"/>
    <x v="282"/>
    <d v="2016-11-19T00:00:00"/>
    <x v="1"/>
    <s v="AS-10135"/>
    <s v="Adrian Shami"/>
    <x v="2"/>
    <s v="United States"/>
    <x v="83"/>
    <x v="13"/>
    <x v="1"/>
    <s v="FUR-FU-10004270"/>
    <s v="Furniture"/>
    <x v="3"/>
    <s v="Eldon Image Series Desk Accessories, Burgundy"/>
    <n v="4.18"/>
    <n v="1"/>
    <n v="1.5047999999999999"/>
    <x v="6"/>
    <x v="0"/>
  </r>
  <r>
    <x v="313"/>
    <x v="283"/>
    <d v="2016-10-29T00:00:00"/>
    <x v="1"/>
    <s v="HK-14890"/>
    <s v="Heather Kirkland"/>
    <x v="1"/>
    <s v="United States"/>
    <x v="9"/>
    <x v="8"/>
    <x v="3"/>
    <s v="FUR-FU-10001196"/>
    <s v="Furniture"/>
    <x v="3"/>
    <s v="DAX Cubicle Frames - 8x10"/>
    <n v="16.155999999999999"/>
    <n v="7"/>
    <n v="-12.117000000000001"/>
    <x v="6"/>
    <x v="1"/>
  </r>
  <r>
    <x v="314"/>
    <x v="2"/>
    <d v="2014-06-11T00:00:00"/>
    <x v="0"/>
    <s v="FO-14305"/>
    <s v="Frank Olsen"/>
    <x v="0"/>
    <s v="United States"/>
    <x v="95"/>
    <x v="25"/>
    <x v="0"/>
    <s v="FUR-TA-10004534"/>
    <s v="Furniture"/>
    <x v="2"/>
    <s v="Bevis 44 x 96 Conference Tables"/>
    <n v="1441.3"/>
    <n v="7"/>
    <n v="245.02099999999999"/>
    <x v="3"/>
    <x v="2"/>
  </r>
  <r>
    <x v="315"/>
    <x v="93"/>
    <d v="2017-11-26T00:00:00"/>
    <x v="1"/>
    <s v="BT-11680"/>
    <s v="Brian Thompson"/>
    <x v="0"/>
    <s v="United States"/>
    <x v="19"/>
    <x v="15"/>
    <x v="2"/>
    <s v="FUR-FU-10001861"/>
    <s v="Furniture"/>
    <x v="3"/>
    <s v="Floodlight Indoor Halogen Bulbs, 1 Bulb per Pack, 60 Watts"/>
    <n v="77.599999999999994"/>
    <n v="5"/>
    <n v="28.13"/>
    <x v="6"/>
    <x v="0"/>
  </r>
  <r>
    <x v="315"/>
    <x v="93"/>
    <d v="2017-11-26T00:00:00"/>
    <x v="1"/>
    <s v="BT-11680"/>
    <s v="Brian Thompson"/>
    <x v="0"/>
    <s v="United States"/>
    <x v="19"/>
    <x v="15"/>
    <x v="2"/>
    <s v="FUR-FU-10000206"/>
    <s v="Furniture"/>
    <x v="3"/>
    <s v="GE General Purpose, Extra Long Life, Showcase &amp; Floodlight Incandescent Bulbs"/>
    <n v="4.6559999999999997"/>
    <n v="2"/>
    <n v="1.5713999999999999"/>
    <x v="6"/>
    <x v="0"/>
  </r>
  <r>
    <x v="316"/>
    <x v="221"/>
    <d v="2015-09-18T00:00:00"/>
    <x v="1"/>
    <s v="SP-20620"/>
    <s v="Stefania Perrino"/>
    <x v="1"/>
    <s v="United States"/>
    <x v="2"/>
    <x v="2"/>
    <x v="1"/>
    <s v="FUR-TA-10002607"/>
    <s v="Furniture"/>
    <x v="2"/>
    <s v="KI Conference Tables"/>
    <n v="170.136"/>
    <n v="3"/>
    <n v="-8.5068000000000001"/>
    <x v="4"/>
    <x v="4"/>
  </r>
  <r>
    <x v="317"/>
    <x v="284"/>
    <d v="2014-05-29T00:00:00"/>
    <x v="1"/>
    <s v="JL-15235"/>
    <s v="Janet Lee"/>
    <x v="0"/>
    <s v="United States"/>
    <x v="9"/>
    <x v="8"/>
    <x v="3"/>
    <s v="FUR-FU-10002553"/>
    <s v="Furniture"/>
    <x v="3"/>
    <s v="Electrix Incandescent Magnifying Lamp, Black"/>
    <n v="29.32"/>
    <n v="2"/>
    <n v="-24.189"/>
    <x v="4"/>
    <x v="7"/>
  </r>
  <r>
    <x v="318"/>
    <x v="285"/>
    <d v="2016-02-20T00:00:00"/>
    <x v="1"/>
    <s v="EA-14035"/>
    <s v="Erin Ashbrook"/>
    <x v="1"/>
    <s v="United States"/>
    <x v="9"/>
    <x v="8"/>
    <x v="3"/>
    <s v="FUR-CH-10004754"/>
    <s v="Furniture"/>
    <x v="1"/>
    <s v="Global Stack Chair with Arms, Black"/>
    <n v="62.957999999999998"/>
    <n v="3"/>
    <n v="-2.6981999999999999"/>
    <x v="4"/>
    <x v="11"/>
  </r>
  <r>
    <x v="319"/>
    <x v="286"/>
    <d v="2016-12-28T00:00:00"/>
    <x v="1"/>
    <s v="SA-20830"/>
    <s v="Sue Ann Reed"/>
    <x v="0"/>
    <s v="United States"/>
    <x v="125"/>
    <x v="36"/>
    <x v="1"/>
    <s v="FUR-FU-10001935"/>
    <s v="Furniture"/>
    <x v="3"/>
    <s v="3M Hangers With Command Adhesive"/>
    <n v="11.84"/>
    <n v="4"/>
    <n v="3.1080000000000001"/>
    <x v="6"/>
    <x v="5"/>
  </r>
  <r>
    <x v="319"/>
    <x v="286"/>
    <d v="2016-12-28T00:00:00"/>
    <x v="1"/>
    <s v="SA-20830"/>
    <s v="Sue Ann Reed"/>
    <x v="0"/>
    <s v="United States"/>
    <x v="125"/>
    <x v="36"/>
    <x v="1"/>
    <s v="FUR-FU-10002878"/>
    <s v="Furniture"/>
    <x v="3"/>
    <s v="Seth Thomas 14&quot; Day/Date Wall Clock"/>
    <n v="22.783999999999999"/>
    <n v="1"/>
    <n v="4.8415999999999997"/>
    <x v="6"/>
    <x v="5"/>
  </r>
  <r>
    <x v="320"/>
    <x v="85"/>
    <d v="2017-10-21T00:00:00"/>
    <x v="3"/>
    <s v="SL-20155"/>
    <s v="Sara Luxemburg"/>
    <x v="2"/>
    <s v="United States"/>
    <x v="126"/>
    <x v="37"/>
    <x v="3"/>
    <s v="FUR-TA-10002356"/>
    <s v="Furniture"/>
    <x v="2"/>
    <s v="Bevis Boat-Shaped Conference Table"/>
    <n v="262.11"/>
    <n v="1"/>
    <n v="62.906399999999998"/>
    <x v="7"/>
    <x v="1"/>
  </r>
  <r>
    <x v="321"/>
    <x v="287"/>
    <d v="2015-11-09T00:00:00"/>
    <x v="1"/>
    <s v="GB-14530"/>
    <s v="George Bell"/>
    <x v="1"/>
    <s v="United States"/>
    <x v="91"/>
    <x v="30"/>
    <x v="0"/>
    <s v="FUR-CH-10001270"/>
    <s v="Furniture"/>
    <x v="1"/>
    <s v="Harbour Creations Steel Folding Chair"/>
    <n v="207"/>
    <n v="3"/>
    <n v="25.875"/>
    <x v="4"/>
    <x v="0"/>
  </r>
  <r>
    <x v="322"/>
    <x v="288"/>
    <d v="2014-08-05T00:00:00"/>
    <x v="1"/>
    <s v="BF-10975"/>
    <s v="Barbara Fisher"/>
    <x v="1"/>
    <s v="United States"/>
    <x v="127"/>
    <x v="30"/>
    <x v="0"/>
    <s v="FUR-FU-10000629"/>
    <s v="Furniture"/>
    <x v="3"/>
    <s v="9-3/4 Diameter Round Wall Clock"/>
    <n v="44.128"/>
    <n v="4"/>
    <n v="12.135199999999999"/>
    <x v="4"/>
    <x v="10"/>
  </r>
  <r>
    <x v="323"/>
    <x v="196"/>
    <d v="2016-07-23T00:00:00"/>
    <x v="1"/>
    <s v="KH-16330"/>
    <s v="Katharine Harms"/>
    <x v="1"/>
    <s v="United States"/>
    <x v="128"/>
    <x v="0"/>
    <x v="0"/>
    <s v="FUR-CH-10000988"/>
    <s v="Furniture"/>
    <x v="1"/>
    <s v="Hon Olson Stacker Stools"/>
    <n v="140.81"/>
    <n v="1"/>
    <n v="39.4268"/>
    <x v="2"/>
    <x v="3"/>
  </r>
  <r>
    <x v="324"/>
    <x v="289"/>
    <d v="2015-02-11T00:00:00"/>
    <x v="0"/>
    <s v="FA-14230"/>
    <s v="Frank Atkinson"/>
    <x v="1"/>
    <s v="United States"/>
    <x v="21"/>
    <x v="5"/>
    <x v="3"/>
    <s v="FUR-FU-10001986"/>
    <s v="Furniture"/>
    <x v="3"/>
    <s v="Dana Fluorescent Magnifying Lamp, White, 36&quot;"/>
    <n v="40.783999999999999"/>
    <n v="2"/>
    <n v="-30.588000000000001"/>
    <x v="3"/>
    <x v="11"/>
  </r>
  <r>
    <x v="325"/>
    <x v="290"/>
    <d v="2017-01-17T00:00:00"/>
    <x v="0"/>
    <s v="DA-13450"/>
    <s v="Dianna Arnett"/>
    <x v="2"/>
    <s v="United States"/>
    <x v="85"/>
    <x v="29"/>
    <x v="2"/>
    <s v="FUR-FU-10004973"/>
    <s v="Furniture"/>
    <x v="3"/>
    <s v="Flat Face Poster Frame"/>
    <n v="37.68"/>
    <n v="2"/>
    <n v="15.8256"/>
    <x v="2"/>
    <x v="8"/>
  </r>
  <r>
    <x v="326"/>
    <x v="291"/>
    <d v="2017-09-10T00:00:00"/>
    <x v="3"/>
    <s v="FH-14275"/>
    <s v="Frank Hawley"/>
    <x v="1"/>
    <s v="United States"/>
    <x v="2"/>
    <x v="2"/>
    <x v="1"/>
    <s v="FUR-CH-10002602"/>
    <s v="Furniture"/>
    <x v="1"/>
    <s v="DMI Arturo Collection Mission-style Design Wood Chair"/>
    <n v="362.35199999999998"/>
    <n v="3"/>
    <n v="27.176400000000001"/>
    <x v="7"/>
    <x v="4"/>
  </r>
  <r>
    <x v="327"/>
    <x v="292"/>
    <d v="2017-03-27T00:00:00"/>
    <x v="2"/>
    <s v="GM-14440"/>
    <s v="Gary McGarr"/>
    <x v="0"/>
    <s v="United States"/>
    <x v="13"/>
    <x v="7"/>
    <x v="2"/>
    <s v="FUR-BO-10001918"/>
    <s v="Furniture"/>
    <x v="0"/>
    <s v="Sauder Forest Hills Library with Doors, Woodland Oak Finish"/>
    <n v="257.56799999999998"/>
    <n v="2"/>
    <n v="-28.976400000000002"/>
    <x v="5"/>
    <x v="9"/>
  </r>
  <r>
    <x v="328"/>
    <x v="25"/>
    <d v="2016-10-17T00:00:00"/>
    <x v="1"/>
    <s v="NC-18625"/>
    <s v="Noah Childs"/>
    <x v="1"/>
    <s v="United States"/>
    <x v="14"/>
    <x v="12"/>
    <x v="1"/>
    <s v="FUR-TA-10004575"/>
    <s v="Furniture"/>
    <x v="2"/>
    <s v="Hon 5100 Series Wood Tables"/>
    <n v="727.45"/>
    <n v="5"/>
    <n v="-465.56799999999998"/>
    <x v="4"/>
    <x v="1"/>
  </r>
  <r>
    <x v="328"/>
    <x v="25"/>
    <d v="2016-10-17T00:00:00"/>
    <x v="1"/>
    <s v="NC-18625"/>
    <s v="Noah Childs"/>
    <x v="1"/>
    <s v="United States"/>
    <x v="14"/>
    <x v="12"/>
    <x v="1"/>
    <s v="FUR-FU-10001617"/>
    <s v="Furniture"/>
    <x v="3"/>
    <s v="Executive Impressions 8-1/2&quot; Career Panel/Partition Cubicle Clock"/>
    <n v="24.96"/>
    <n v="3"/>
    <n v="4.3680000000000003"/>
    <x v="4"/>
    <x v="1"/>
  </r>
  <r>
    <x v="329"/>
    <x v="293"/>
    <d v="2017-04-18T00:00:00"/>
    <x v="2"/>
    <s v="AH-10075"/>
    <s v="Adam Hart"/>
    <x v="1"/>
    <s v="United States"/>
    <x v="0"/>
    <x v="34"/>
    <x v="1"/>
    <s v="FUR-FU-10004460"/>
    <s v="Furniture"/>
    <x v="3"/>
    <s v="Howard Miller 12&quot; Round Wall Clock"/>
    <n v="196.45"/>
    <n v="5"/>
    <n v="70.721999999999994"/>
    <x v="0"/>
    <x v="6"/>
  </r>
  <r>
    <x v="330"/>
    <x v="294"/>
    <d v="2014-07-25T00:00:00"/>
    <x v="1"/>
    <s v="ME-18010"/>
    <s v="Michelle Ellison"/>
    <x v="1"/>
    <s v="United States"/>
    <x v="28"/>
    <x v="2"/>
    <x v="1"/>
    <s v="FUR-CH-10001215"/>
    <s v="Furniture"/>
    <x v="1"/>
    <s v="Global Troy Executive Leather Low-Back Tilter"/>
    <n v="801.56799999999998"/>
    <n v="2"/>
    <n v="50.097999999999999"/>
    <x v="4"/>
    <x v="3"/>
  </r>
  <r>
    <x v="330"/>
    <x v="294"/>
    <d v="2014-07-25T00:00:00"/>
    <x v="1"/>
    <s v="ME-18010"/>
    <s v="Michelle Ellison"/>
    <x v="1"/>
    <s v="United States"/>
    <x v="28"/>
    <x v="2"/>
    <x v="1"/>
    <s v="FUR-TA-10004175"/>
    <s v="Furniture"/>
    <x v="2"/>
    <s v="Hon 30&quot; x 60&quot; Table with Locking Drawer"/>
    <n v="272.84800000000001"/>
    <n v="1"/>
    <n v="27.284800000000001"/>
    <x v="4"/>
    <x v="3"/>
  </r>
  <r>
    <x v="331"/>
    <x v="295"/>
    <d v="2017-11-25T00:00:00"/>
    <x v="1"/>
    <s v="BP-11230"/>
    <s v="Benjamin Patterson"/>
    <x v="0"/>
    <s v="United States"/>
    <x v="129"/>
    <x v="13"/>
    <x v="1"/>
    <s v="FUR-TA-10004767"/>
    <s v="Furniture"/>
    <x v="2"/>
    <s v="Safco Drafting Table"/>
    <n v="70.98"/>
    <n v="1"/>
    <n v="20.584199999999999"/>
    <x v="4"/>
    <x v="0"/>
  </r>
  <r>
    <x v="332"/>
    <x v="296"/>
    <d v="2016-03-16T00:00:00"/>
    <x v="1"/>
    <s v="CJ-12010"/>
    <s v="Caroline Jumper"/>
    <x v="0"/>
    <s v="United States"/>
    <x v="62"/>
    <x v="7"/>
    <x v="2"/>
    <s v="FUR-BO-10003272"/>
    <s v="Furniture"/>
    <x v="0"/>
    <s v="O'Sullivan Living Dimensions 5-Shelf Bookcases"/>
    <n v="176.78399999999999"/>
    <n v="1"/>
    <n v="-22.097999999999999"/>
    <x v="6"/>
    <x v="9"/>
  </r>
  <r>
    <x v="333"/>
    <x v="297"/>
    <d v="2018-01-02T00:00:00"/>
    <x v="1"/>
    <s v="JG-15160"/>
    <s v="James Galang"/>
    <x v="0"/>
    <s v="United States"/>
    <x v="2"/>
    <x v="2"/>
    <x v="1"/>
    <s v="FUR-CH-10002880"/>
    <s v="Furniture"/>
    <x v="1"/>
    <s v="Global High-Back Leather Tilter, Burgundy"/>
    <n v="393.56799999999998"/>
    <n v="4"/>
    <n v="-44.276400000000002"/>
    <x v="4"/>
    <x v="5"/>
  </r>
  <r>
    <x v="334"/>
    <x v="298"/>
    <d v="2015-03-05T00:00:00"/>
    <x v="3"/>
    <s v="LF-17185"/>
    <s v="Luke Foster"/>
    <x v="0"/>
    <s v="United States"/>
    <x v="13"/>
    <x v="7"/>
    <x v="2"/>
    <s v="FUR-CH-10001146"/>
    <s v="Furniture"/>
    <x v="1"/>
    <s v="Global Value Mid-Back Manager's Chair, Gray"/>
    <n v="383.60700000000003"/>
    <n v="7"/>
    <n v="63.9345"/>
    <x v="7"/>
    <x v="9"/>
  </r>
  <r>
    <x v="335"/>
    <x v="74"/>
    <d v="2016-04-26T00:00:00"/>
    <x v="0"/>
    <s v="PG-18895"/>
    <s v="Paul Gonzalez"/>
    <x v="0"/>
    <s v="United States"/>
    <x v="28"/>
    <x v="2"/>
    <x v="1"/>
    <s v="FUR-FU-10001889"/>
    <s v="Furniture"/>
    <x v="3"/>
    <s v="Ultra Door Pull Handle"/>
    <n v="31.56"/>
    <n v="3"/>
    <n v="10.4148"/>
    <x v="4"/>
    <x v="6"/>
  </r>
  <r>
    <x v="336"/>
    <x v="299"/>
    <d v="2014-10-22T00:00:00"/>
    <x v="2"/>
    <s v="TB-21520"/>
    <s v="Tracy Blumstein"/>
    <x v="0"/>
    <s v="United States"/>
    <x v="130"/>
    <x v="15"/>
    <x v="2"/>
    <s v="FUR-TA-10000617"/>
    <s v="Furniture"/>
    <x v="2"/>
    <s v="Hon Practical Foundations 30 x 60 Training Table, Light Gray/Charcoal"/>
    <n v="409.59"/>
    <n v="3"/>
    <n v="-122.877"/>
    <x v="5"/>
    <x v="1"/>
  </r>
  <r>
    <x v="337"/>
    <x v="300"/>
    <d v="2014-09-02T00:00:00"/>
    <x v="0"/>
    <s v="RA-19945"/>
    <s v="Ryan Akin"/>
    <x v="0"/>
    <s v="United States"/>
    <x v="89"/>
    <x v="1"/>
    <x v="0"/>
    <s v="FUR-TA-10001857"/>
    <s v="Furniture"/>
    <x v="2"/>
    <s v="Balt Solid Wood Rectangular Table"/>
    <n v="174.05850000000001"/>
    <n v="3"/>
    <n v="-110.7645"/>
    <x v="4"/>
    <x v="10"/>
  </r>
  <r>
    <x v="338"/>
    <x v="85"/>
    <d v="2017-10-22T00:00:00"/>
    <x v="2"/>
    <s v="DK-12835"/>
    <s v="Damala Kotsonis"/>
    <x v="1"/>
    <s v="United States"/>
    <x v="76"/>
    <x v="36"/>
    <x v="1"/>
    <s v="FUR-CH-10000155"/>
    <s v="Furniture"/>
    <x v="1"/>
    <s v="Global Comet Stacking Armless Chair"/>
    <n v="478.48"/>
    <n v="2"/>
    <n v="47.847999999999999"/>
    <x v="5"/>
    <x v="1"/>
  </r>
  <r>
    <x v="339"/>
    <x v="136"/>
    <d v="2015-02-04T00:00:00"/>
    <x v="2"/>
    <s v="RW-19540"/>
    <s v="Rick Wilson"/>
    <x v="1"/>
    <s v="United States"/>
    <x v="2"/>
    <x v="2"/>
    <x v="1"/>
    <s v="FUR-FU-10004093"/>
    <s v="Furniture"/>
    <x v="3"/>
    <s v="Hand-Finished Solid Wood Document Frame"/>
    <n v="136.91999999999999"/>
    <n v="4"/>
    <n v="41.076000000000001"/>
    <x v="5"/>
    <x v="11"/>
  </r>
  <r>
    <x v="340"/>
    <x v="186"/>
    <d v="2017-12-23T00:00:00"/>
    <x v="1"/>
    <s v="DB-13660"/>
    <s v="Duane Benoit"/>
    <x v="0"/>
    <s v="United States"/>
    <x v="64"/>
    <x v="7"/>
    <x v="2"/>
    <s v="FUR-FU-10001037"/>
    <s v="Furniture"/>
    <x v="3"/>
    <s v="DAX Charcoal/Nickel-Tone Document Frame, 5 x 7"/>
    <n v="18.96"/>
    <n v="2"/>
    <n v="8.532"/>
    <x v="2"/>
    <x v="5"/>
  </r>
  <r>
    <x v="341"/>
    <x v="301"/>
    <d v="2017-08-19T00:00:00"/>
    <x v="2"/>
    <s v="EH-13765"/>
    <s v="Edward Hooks"/>
    <x v="1"/>
    <s v="United States"/>
    <x v="115"/>
    <x v="7"/>
    <x v="2"/>
    <s v="FUR-CH-10003981"/>
    <s v="Furniture"/>
    <x v="1"/>
    <s v="Global Commerce Series Low-Back Swivel/Tilt Chairs"/>
    <n v="462.56400000000002"/>
    <n v="2"/>
    <n v="97.6524"/>
    <x v="3"/>
    <x v="10"/>
  </r>
  <r>
    <x v="342"/>
    <x v="302"/>
    <d v="2017-08-10T00:00:00"/>
    <x v="0"/>
    <s v="SV-20365"/>
    <s v="Seth Vernon"/>
    <x v="0"/>
    <s v="United States"/>
    <x v="120"/>
    <x v="35"/>
    <x v="0"/>
    <s v="FUR-BO-10000468"/>
    <s v="Furniture"/>
    <x v="0"/>
    <s v="O'Sullivan 2-Shelf Heavy-Duty Bookcases"/>
    <n v="145.74"/>
    <n v="3"/>
    <n v="23.3184"/>
    <x v="4"/>
    <x v="10"/>
  </r>
  <r>
    <x v="342"/>
    <x v="302"/>
    <d v="2017-08-10T00:00:00"/>
    <x v="0"/>
    <s v="SV-20365"/>
    <s v="Seth Vernon"/>
    <x v="0"/>
    <s v="United States"/>
    <x v="120"/>
    <x v="35"/>
    <x v="0"/>
    <s v="FUR-FU-10001706"/>
    <s v="Furniture"/>
    <x v="3"/>
    <s v="Longer-Life Soft White Bulbs"/>
    <n v="15.4"/>
    <n v="5"/>
    <n v="7.3920000000000003"/>
    <x v="4"/>
    <x v="10"/>
  </r>
  <r>
    <x v="343"/>
    <x v="303"/>
    <d v="2015-05-27T00:00:00"/>
    <x v="0"/>
    <s v="NP-18685"/>
    <s v="Nora Pelletier"/>
    <x v="2"/>
    <s v="United States"/>
    <x v="28"/>
    <x v="2"/>
    <x v="1"/>
    <s v="FUR-FU-10002268"/>
    <s v="Furniture"/>
    <x v="3"/>
    <s v="Ultra Door Push Plate"/>
    <n v="14.73"/>
    <n v="3"/>
    <n v="4.8609"/>
    <x v="3"/>
    <x v="7"/>
  </r>
  <r>
    <x v="344"/>
    <x v="304"/>
    <d v="2016-07-12T00:00:00"/>
    <x v="1"/>
    <s v="JE-15715"/>
    <s v="Joe Elijah"/>
    <x v="0"/>
    <s v="United States"/>
    <x v="131"/>
    <x v="12"/>
    <x v="1"/>
    <s v="FUR-CH-10004287"/>
    <s v="Furniture"/>
    <x v="1"/>
    <s v="SAFCO Arco Folding Chair"/>
    <n v="662.88"/>
    <n v="3"/>
    <n v="74.573999999999998"/>
    <x v="4"/>
    <x v="3"/>
  </r>
  <r>
    <x v="345"/>
    <x v="113"/>
    <d v="2017-09-06T00:00:00"/>
    <x v="1"/>
    <s v="AC-10615"/>
    <s v="Ann Chong"/>
    <x v="1"/>
    <s v="United States"/>
    <x v="13"/>
    <x v="7"/>
    <x v="2"/>
    <s v="FUR-FU-10001196"/>
    <s v="Furniture"/>
    <x v="3"/>
    <s v="DAX Cubicle Frames - 8x10"/>
    <n v="11.54"/>
    <n v="2"/>
    <n v="3.4620000000000002"/>
    <x v="4"/>
    <x v="4"/>
  </r>
  <r>
    <x v="345"/>
    <x v="113"/>
    <d v="2017-09-06T00:00:00"/>
    <x v="1"/>
    <s v="AC-10615"/>
    <s v="Ann Chong"/>
    <x v="1"/>
    <s v="United States"/>
    <x v="13"/>
    <x v="7"/>
    <x v="2"/>
    <s v="FUR-TA-10001889"/>
    <s v="Furniture"/>
    <x v="2"/>
    <s v="Bush Advantage Collection Racetrack Conference Table"/>
    <n v="254.52600000000001"/>
    <n v="1"/>
    <n v="-93.3262"/>
    <x v="4"/>
    <x v="4"/>
  </r>
  <r>
    <x v="345"/>
    <x v="113"/>
    <d v="2017-09-06T00:00:00"/>
    <x v="1"/>
    <s v="AC-10615"/>
    <s v="Ann Chong"/>
    <x v="1"/>
    <s v="United States"/>
    <x v="13"/>
    <x v="7"/>
    <x v="2"/>
    <s v="FUR-CH-10003379"/>
    <s v="Furniture"/>
    <x v="1"/>
    <s v="Global Commerce Series High-Back Swivel/Tilt Chairs"/>
    <n v="1282.4100000000001"/>
    <n v="5"/>
    <n v="213.73500000000001"/>
    <x v="4"/>
    <x v="4"/>
  </r>
  <r>
    <x v="346"/>
    <x v="305"/>
    <d v="2014-10-20T00:00:00"/>
    <x v="0"/>
    <s v="AS-10225"/>
    <s v="Alan Schoenberger"/>
    <x v="1"/>
    <s v="United States"/>
    <x v="132"/>
    <x v="33"/>
    <x v="0"/>
    <s v="FUR-CH-10003774"/>
    <s v="Furniture"/>
    <x v="1"/>
    <s v="Global Wood Trimmed Manager's Task Chair, Khaki"/>
    <n v="545.88"/>
    <n v="6"/>
    <n v="70.964399999999998"/>
    <x v="3"/>
    <x v="1"/>
  </r>
  <r>
    <x v="347"/>
    <x v="65"/>
    <d v="2016-04-14T00:00:00"/>
    <x v="3"/>
    <s v="KT-16465"/>
    <s v="Kean Takahito"/>
    <x v="0"/>
    <s v="United States"/>
    <x v="110"/>
    <x v="22"/>
    <x v="1"/>
    <s v="FUR-CH-10004086"/>
    <s v="Furniture"/>
    <x v="1"/>
    <s v="Hon 4070 Series Pagoda Armless Upholstered Stacking Chairs"/>
    <n v="933.53599999999994"/>
    <n v="4"/>
    <n v="105.0228"/>
    <x v="7"/>
    <x v="6"/>
  </r>
  <r>
    <x v="348"/>
    <x v="306"/>
    <d v="2014-11-27T00:00:00"/>
    <x v="0"/>
    <s v="LW-16825"/>
    <s v="Laurel Workman"/>
    <x v="1"/>
    <s v="United States"/>
    <x v="133"/>
    <x v="2"/>
    <x v="1"/>
    <s v="FUR-FU-10001940"/>
    <s v="Furniture"/>
    <x v="3"/>
    <s v="Staple-based wall hangings"/>
    <n v="23.88"/>
    <n v="3"/>
    <n v="10.507199999999999"/>
    <x v="3"/>
    <x v="0"/>
  </r>
  <r>
    <x v="349"/>
    <x v="307"/>
    <d v="2015-11-13T00:00:00"/>
    <x v="1"/>
    <s v="AS-10090"/>
    <s v="Adam Shillingsburg"/>
    <x v="0"/>
    <s v="United States"/>
    <x v="76"/>
    <x v="23"/>
    <x v="3"/>
    <s v="FUR-TA-10002855"/>
    <s v="Furniture"/>
    <x v="2"/>
    <s v="Bevis Round Conference Table Top &amp; Single Column Base"/>
    <n v="1024.3800000000001"/>
    <n v="7"/>
    <n v="215.1198"/>
    <x v="4"/>
    <x v="0"/>
  </r>
  <r>
    <x v="350"/>
    <x v="308"/>
    <d v="2017-12-04T00:00:00"/>
    <x v="0"/>
    <s v="JS-16030"/>
    <s v="Joy Smith"/>
    <x v="0"/>
    <s v="United States"/>
    <x v="6"/>
    <x v="5"/>
    <x v="3"/>
    <s v="FUR-FU-10004020"/>
    <s v="Furniture"/>
    <x v="3"/>
    <s v="Advantus Panel Wall Acrylic Frame"/>
    <n v="8.7520000000000007"/>
    <n v="4"/>
    <n v="-3.7195999999999998"/>
    <x v="3"/>
    <x v="5"/>
  </r>
  <r>
    <x v="351"/>
    <x v="19"/>
    <d v="2017-12-28T00:00:00"/>
    <x v="0"/>
    <s v="JW-15955"/>
    <s v="Joni Wasserman"/>
    <x v="0"/>
    <s v="United States"/>
    <x v="74"/>
    <x v="0"/>
    <x v="0"/>
    <s v="FUR-CH-10001146"/>
    <s v="Furniture"/>
    <x v="1"/>
    <s v="Global Value Mid-Back Manager's Chair, Gray"/>
    <n v="304.45"/>
    <n v="5"/>
    <n v="76.112499999999997"/>
    <x v="0"/>
    <x v="5"/>
  </r>
  <r>
    <x v="352"/>
    <x v="309"/>
    <d v="2017-08-04T00:00:00"/>
    <x v="2"/>
    <s v="CM-12190"/>
    <s v="Charlotte Melton"/>
    <x v="0"/>
    <s v="United States"/>
    <x v="9"/>
    <x v="8"/>
    <x v="3"/>
    <s v="FUR-BO-10003034"/>
    <s v="Furniture"/>
    <x v="0"/>
    <s v="O'Sullivan Elevations Bookcase, Cherry Finish"/>
    <n v="183.37200000000001"/>
    <n v="2"/>
    <n v="-36.674399999999999"/>
    <x v="5"/>
    <x v="10"/>
  </r>
  <r>
    <x v="353"/>
    <x v="126"/>
    <d v="2016-09-23T00:00:00"/>
    <x v="1"/>
    <s v="AM-10705"/>
    <s v="Anne McFarland"/>
    <x v="0"/>
    <s v="United States"/>
    <x v="83"/>
    <x v="33"/>
    <x v="0"/>
    <s v="FUR-CH-10001854"/>
    <s v="Furniture"/>
    <x v="1"/>
    <s v="Office Star - Professional Matrix Back Chair with 2-to-1 Synchro Tilt and Mesh Fabric Seat"/>
    <n v="350.98"/>
    <n v="1"/>
    <n v="84.235200000000006"/>
    <x v="2"/>
    <x v="4"/>
  </r>
  <r>
    <x v="354"/>
    <x v="107"/>
    <d v="2016-09-21T00:00:00"/>
    <x v="2"/>
    <s v="RH-19510"/>
    <s v="Rick Huthwaite"/>
    <x v="2"/>
    <s v="United States"/>
    <x v="134"/>
    <x v="38"/>
    <x v="2"/>
    <s v="FUR-CH-10004675"/>
    <s v="Furniture"/>
    <x v="1"/>
    <s v="Lifetime Advantage Folding Chairs, 4/Carton"/>
    <n v="872.32"/>
    <n v="4"/>
    <n v="244.24959999999999"/>
    <x v="3"/>
    <x v="4"/>
  </r>
  <r>
    <x v="355"/>
    <x v="310"/>
    <d v="2015-03-15T00:00:00"/>
    <x v="2"/>
    <s v="MC-17275"/>
    <s v="Marc Crier"/>
    <x v="0"/>
    <s v="United States"/>
    <x v="15"/>
    <x v="13"/>
    <x v="1"/>
    <s v="FUR-BO-10004409"/>
    <s v="Furniture"/>
    <x v="0"/>
    <s v="Safco Value Mate Series Steel Bookcases, Baked Enamel Finish on Steel, Gray"/>
    <n v="141.96"/>
    <n v="2"/>
    <n v="39.748800000000003"/>
    <x v="3"/>
    <x v="9"/>
  </r>
  <r>
    <x v="356"/>
    <x v="58"/>
    <d v="2017-09-29T00:00:00"/>
    <x v="1"/>
    <s v="CT-11995"/>
    <s v="Carol Triggs"/>
    <x v="0"/>
    <s v="United States"/>
    <x v="77"/>
    <x v="11"/>
    <x v="3"/>
    <s v="FUR-CH-10003061"/>
    <s v="Furniture"/>
    <x v="1"/>
    <s v="Global Leather Task Chair, Black"/>
    <n v="269.97000000000003"/>
    <n v="3"/>
    <n v="51.2943"/>
    <x v="4"/>
    <x v="4"/>
  </r>
  <r>
    <x v="357"/>
    <x v="311"/>
    <d v="2015-06-23T00:00:00"/>
    <x v="1"/>
    <s v="SN-20560"/>
    <s v="Skye Norling"/>
    <x v="2"/>
    <s v="United States"/>
    <x v="117"/>
    <x v="22"/>
    <x v="1"/>
    <s v="FUR-FU-10004973"/>
    <s v="Furniture"/>
    <x v="3"/>
    <s v="Flat Face Poster Frame"/>
    <n v="75.36"/>
    <n v="5"/>
    <n v="20.724"/>
    <x v="2"/>
    <x v="2"/>
  </r>
  <r>
    <x v="358"/>
    <x v="312"/>
    <d v="2015-07-13T00:00:00"/>
    <x v="2"/>
    <s v="CK-12595"/>
    <s v="Clytie Kelty"/>
    <x v="0"/>
    <s v="United States"/>
    <x v="3"/>
    <x v="3"/>
    <x v="2"/>
    <s v="FUR-FU-10004848"/>
    <s v="Furniture"/>
    <x v="3"/>
    <s v="Howard Miller 13-3/4&quot; Diameter Brushed Chrome Round Wall Clock"/>
    <n v="289.8"/>
    <n v="7"/>
    <n v="36.225000000000001"/>
    <x v="3"/>
    <x v="3"/>
  </r>
  <r>
    <x v="358"/>
    <x v="312"/>
    <d v="2015-07-13T00:00:00"/>
    <x v="2"/>
    <s v="CK-12595"/>
    <s v="Clytie Kelty"/>
    <x v="0"/>
    <s v="United States"/>
    <x v="3"/>
    <x v="3"/>
    <x v="2"/>
    <s v="FUR-CH-10003833"/>
    <s v="Furniture"/>
    <x v="1"/>
    <s v="Novimex Fabric Task Chair"/>
    <n v="341.488"/>
    <n v="8"/>
    <n v="-73.176000000000002"/>
    <x v="3"/>
    <x v="3"/>
  </r>
  <r>
    <x v="358"/>
    <x v="312"/>
    <d v="2015-07-13T00:00:00"/>
    <x v="2"/>
    <s v="CK-12595"/>
    <s v="Clytie Kelty"/>
    <x v="0"/>
    <s v="United States"/>
    <x v="3"/>
    <x v="3"/>
    <x v="2"/>
    <s v="FUR-FU-10003142"/>
    <s v="Furniture"/>
    <x v="3"/>
    <s v="Master Big Foot Doorstop, Beige"/>
    <n v="25.344000000000001"/>
    <n v="6"/>
    <n v="3.4847999999999999"/>
    <x v="3"/>
    <x v="3"/>
  </r>
  <r>
    <x v="359"/>
    <x v="193"/>
    <d v="2016-12-07T00:00:00"/>
    <x v="1"/>
    <s v="RD-19480"/>
    <s v="Rick Duston"/>
    <x v="0"/>
    <s v="United States"/>
    <x v="52"/>
    <x v="6"/>
    <x v="3"/>
    <s v="FUR-FU-10001196"/>
    <s v="Furniture"/>
    <x v="3"/>
    <s v="DAX Cubicle Frames - 8x10"/>
    <n v="17.309999999999999"/>
    <n v="3"/>
    <n v="5.1929999999999996"/>
    <x v="6"/>
    <x v="5"/>
  </r>
  <r>
    <x v="360"/>
    <x v="313"/>
    <d v="2017-12-25T00:00:00"/>
    <x v="2"/>
    <s v="TP-21130"/>
    <s v="Theone Pippenger"/>
    <x v="0"/>
    <s v="United States"/>
    <x v="25"/>
    <x v="17"/>
    <x v="3"/>
    <s v="FUR-CH-10002335"/>
    <s v="Furniture"/>
    <x v="1"/>
    <s v="Hon GuestStacker Chair"/>
    <n v="1586.69"/>
    <n v="7"/>
    <n v="412.5394"/>
    <x v="0"/>
    <x v="5"/>
  </r>
  <r>
    <x v="360"/>
    <x v="313"/>
    <d v="2017-12-25T00:00:00"/>
    <x v="2"/>
    <s v="TP-21130"/>
    <s v="Theone Pippenger"/>
    <x v="0"/>
    <s v="United States"/>
    <x v="25"/>
    <x v="17"/>
    <x v="3"/>
    <s v="FUR-TA-10004534"/>
    <s v="Furniture"/>
    <x v="2"/>
    <s v="Bevis 44 x 96 Conference Tables"/>
    <n v="411.8"/>
    <n v="2"/>
    <n v="70.006"/>
    <x v="0"/>
    <x v="5"/>
  </r>
  <r>
    <x v="361"/>
    <x v="314"/>
    <d v="2014-11-04T00:00:00"/>
    <x v="1"/>
    <s v="GG-14650"/>
    <s v="Greg Guthrie"/>
    <x v="1"/>
    <s v="United States"/>
    <x v="2"/>
    <x v="2"/>
    <x v="1"/>
    <s v="FUR-CH-10003833"/>
    <s v="Furniture"/>
    <x v="1"/>
    <s v="Novimex Fabric Task Chair"/>
    <n v="146.352"/>
    <n v="3"/>
    <n v="-9.1470000000000002"/>
    <x v="4"/>
    <x v="1"/>
  </r>
  <r>
    <x v="362"/>
    <x v="315"/>
    <d v="2015-04-19T00:00:00"/>
    <x v="1"/>
    <s v="ZC-21910"/>
    <s v="Zuschuss Carroll"/>
    <x v="0"/>
    <s v="United States"/>
    <x v="135"/>
    <x v="2"/>
    <x v="1"/>
    <s v="FUR-TA-10003954"/>
    <s v="Furniture"/>
    <x v="2"/>
    <s v="Hon 94000 Series Round Tables"/>
    <n v="710.83199999999999"/>
    <n v="3"/>
    <n v="-97.739400000000003"/>
    <x v="6"/>
    <x v="6"/>
  </r>
  <r>
    <x v="363"/>
    <x v="93"/>
    <d v="2017-11-25T00:00:00"/>
    <x v="1"/>
    <s v="KA-16525"/>
    <s v="Kelly Andreada"/>
    <x v="0"/>
    <s v="United States"/>
    <x v="136"/>
    <x v="2"/>
    <x v="1"/>
    <s v="FUR-CH-10003956"/>
    <s v="Furniture"/>
    <x v="1"/>
    <s v="Novimex High-Tech Fabric Mesh Task Chair"/>
    <n v="283.92"/>
    <n v="5"/>
    <n v="-46.137"/>
    <x v="2"/>
    <x v="0"/>
  </r>
  <r>
    <x v="364"/>
    <x v="280"/>
    <d v="2014-12-05T00:00:00"/>
    <x v="1"/>
    <s v="TR-21325"/>
    <s v="Toby Ritter"/>
    <x v="0"/>
    <s v="United States"/>
    <x v="28"/>
    <x v="2"/>
    <x v="1"/>
    <s v="FUR-FU-10001861"/>
    <s v="Furniture"/>
    <x v="3"/>
    <s v="Floodlight Indoor Halogen Bulbs, 1 Bulb per Pack, 60 Watts"/>
    <n v="58.2"/>
    <n v="3"/>
    <n v="28.518000000000001"/>
    <x v="4"/>
    <x v="5"/>
  </r>
  <r>
    <x v="365"/>
    <x v="37"/>
    <d v="2015-12-29T00:00:00"/>
    <x v="1"/>
    <s v="MS-17365"/>
    <s v="Maribeth Schnelling"/>
    <x v="0"/>
    <s v="United States"/>
    <x v="43"/>
    <x v="22"/>
    <x v="1"/>
    <s v="FUR-FU-10002885"/>
    <s v="Furniture"/>
    <x v="3"/>
    <s v="Magna Visual Magnetic Picture Hangers"/>
    <n v="7.7119999999999997"/>
    <n v="2"/>
    <n v="1.7352000000000001"/>
    <x v="2"/>
    <x v="5"/>
  </r>
  <r>
    <x v="366"/>
    <x v="316"/>
    <d v="2017-07-19T00:00:00"/>
    <x v="1"/>
    <s v="MM-17260"/>
    <s v="Magdelene Morse"/>
    <x v="0"/>
    <s v="United States"/>
    <x v="16"/>
    <x v="14"/>
    <x v="2"/>
    <s v="FUR-TA-10004607"/>
    <s v="Furniture"/>
    <x v="2"/>
    <s v="Hon 2111 Invitation Series Straight Table"/>
    <n v="310.44299999999998"/>
    <n v="3"/>
    <n v="-48.783900000000003"/>
    <x v="4"/>
    <x v="3"/>
  </r>
  <r>
    <x v="367"/>
    <x v="317"/>
    <d v="2014-11-21T00:00:00"/>
    <x v="1"/>
    <s v="MP-17470"/>
    <s v="Mark Packer"/>
    <x v="2"/>
    <s v="United States"/>
    <x v="137"/>
    <x v="11"/>
    <x v="3"/>
    <s v="FUR-CH-10004289"/>
    <s v="Furniture"/>
    <x v="1"/>
    <s v="Global Super Steno Chair"/>
    <n v="479.9"/>
    <n v="5"/>
    <n v="81.582999999999998"/>
    <x v="4"/>
    <x v="0"/>
  </r>
  <r>
    <x v="368"/>
    <x v="318"/>
    <d v="2014-07-18T00:00:00"/>
    <x v="3"/>
    <s v="AH-10120"/>
    <s v="Adrian Hane"/>
    <x v="2"/>
    <s v="United States"/>
    <x v="104"/>
    <x v="22"/>
    <x v="1"/>
    <s v="FUR-CH-10002372"/>
    <s v="Furniture"/>
    <x v="1"/>
    <s v="Office Star - Ergonomically Designed Knee Chair"/>
    <n v="259.13600000000002"/>
    <n v="4"/>
    <n v="-25.913599999999999"/>
    <x v="7"/>
    <x v="3"/>
  </r>
  <r>
    <x v="369"/>
    <x v="319"/>
    <d v="2015-10-31T00:00:00"/>
    <x v="3"/>
    <s v="SG-20080"/>
    <s v="Sandra Glassco"/>
    <x v="0"/>
    <s v="United States"/>
    <x v="138"/>
    <x v="2"/>
    <x v="1"/>
    <s v="FUR-CH-10004218"/>
    <s v="Furniture"/>
    <x v="1"/>
    <s v="Global Fabric Manager's Chair, Dark Gray"/>
    <n v="323.13600000000002"/>
    <n v="4"/>
    <n v="20.196000000000002"/>
    <x v="7"/>
    <x v="1"/>
  </r>
  <r>
    <x v="369"/>
    <x v="319"/>
    <d v="2015-10-31T00:00:00"/>
    <x v="3"/>
    <s v="SG-20080"/>
    <s v="Sandra Glassco"/>
    <x v="0"/>
    <s v="United States"/>
    <x v="138"/>
    <x v="2"/>
    <x v="1"/>
    <s v="FUR-BO-10002213"/>
    <s v="Furniture"/>
    <x v="0"/>
    <s v="DMI Eclipse Executive Suite Bookcases"/>
    <n v="425.83300000000003"/>
    <n v="1"/>
    <n v="20.039200000000001"/>
    <x v="7"/>
    <x v="1"/>
  </r>
  <r>
    <x v="370"/>
    <x v="33"/>
    <d v="2015-10-17T00:00:00"/>
    <x v="0"/>
    <s v="RK-19300"/>
    <s v="Ralph Kennedy"/>
    <x v="0"/>
    <s v="United States"/>
    <x v="77"/>
    <x v="7"/>
    <x v="2"/>
    <s v="FUR-TA-10001307"/>
    <s v="Furniture"/>
    <x v="2"/>
    <s v="SAFCO PlanMaster Heigh-Adjustable Drafting Table Base, 43w x 30d x 30-37h, Black"/>
    <n v="209.67"/>
    <n v="1"/>
    <n v="-13.978"/>
    <x v="2"/>
    <x v="1"/>
  </r>
  <r>
    <x v="371"/>
    <x v="17"/>
    <d v="2017-11-11T00:00:00"/>
    <x v="2"/>
    <s v="JB-15400"/>
    <s v="Jennifer Braxton"/>
    <x v="1"/>
    <s v="United States"/>
    <x v="139"/>
    <x v="2"/>
    <x v="1"/>
    <s v="FUR-CH-10003061"/>
    <s v="Furniture"/>
    <x v="1"/>
    <s v="Global Leather Task Chair, Black"/>
    <n v="215.976"/>
    <n v="3"/>
    <n v="-2.6997"/>
    <x v="3"/>
    <x v="0"/>
  </r>
  <r>
    <x v="372"/>
    <x v="320"/>
    <d v="2017-09-24T00:00:00"/>
    <x v="0"/>
    <s v="EH-14005"/>
    <s v="Erica Hernandez"/>
    <x v="2"/>
    <s v="United States"/>
    <x v="140"/>
    <x v="17"/>
    <x v="3"/>
    <s v="FUR-BO-10001972"/>
    <s v="Furniture"/>
    <x v="0"/>
    <s v="O'Sullivan 4-Shelf Bookcase in Odessa Pine"/>
    <n v="241.96"/>
    <n v="2"/>
    <n v="41.133200000000002"/>
    <x v="3"/>
    <x v="4"/>
  </r>
  <r>
    <x v="373"/>
    <x v="103"/>
    <d v="2015-10-09T00:00:00"/>
    <x v="1"/>
    <s v="JK-16120"/>
    <s v="Julie Kriz"/>
    <x v="2"/>
    <s v="United States"/>
    <x v="3"/>
    <x v="3"/>
    <x v="2"/>
    <s v="FUR-FU-10003623"/>
    <s v="Furniture"/>
    <x v="3"/>
    <s v="DataProducts Ampli Magnifier Task Lamp, Black,"/>
    <n v="64.944000000000003"/>
    <n v="3"/>
    <n v="6.4943999999999997"/>
    <x v="2"/>
    <x v="1"/>
  </r>
  <r>
    <x v="374"/>
    <x v="321"/>
    <d v="2014-05-22T00:00:00"/>
    <x v="0"/>
    <s v="RF-19345"/>
    <s v="Randy Ferguson"/>
    <x v="1"/>
    <s v="United States"/>
    <x v="63"/>
    <x v="28"/>
    <x v="2"/>
    <s v="FUR-FU-10000076"/>
    <s v="Furniture"/>
    <x v="3"/>
    <s v="24-Hour Round Wall Clock"/>
    <n v="139.86000000000001"/>
    <n v="7"/>
    <n v="60.139800000000001"/>
    <x v="3"/>
    <x v="7"/>
  </r>
  <r>
    <x v="375"/>
    <x v="322"/>
    <d v="2016-01-05T00:00:00"/>
    <x v="1"/>
    <s v="TB-21625"/>
    <s v="Trudy Brown"/>
    <x v="0"/>
    <s v="United States"/>
    <x v="141"/>
    <x v="5"/>
    <x v="3"/>
    <s v="FUR-FU-10002364"/>
    <s v="Furniture"/>
    <x v="3"/>
    <s v="Eldon Expressions Wood Desk Accessories, Oak"/>
    <n v="14.76"/>
    <n v="5"/>
    <n v="-11.439"/>
    <x v="2"/>
    <x v="5"/>
  </r>
  <r>
    <x v="376"/>
    <x v="323"/>
    <d v="2014-06-11T00:00:00"/>
    <x v="1"/>
    <s v="GT-14635"/>
    <s v="Grant Thornton"/>
    <x v="1"/>
    <s v="United States"/>
    <x v="62"/>
    <x v="7"/>
    <x v="2"/>
    <s v="FUR-TA-10003238"/>
    <s v="Furniture"/>
    <x v="2"/>
    <s v="Chromcraft Bull-Nose Wood 48&quot; x 96&quot; Rectangular Conference Tables"/>
    <n v="991.76400000000001"/>
    <n v="3"/>
    <n v="-347.11739999999998"/>
    <x v="2"/>
    <x v="2"/>
  </r>
  <r>
    <x v="377"/>
    <x v="324"/>
    <d v="2016-06-29T00:00:00"/>
    <x v="1"/>
    <s v="TS-21160"/>
    <s v="Theresa Swint"/>
    <x v="1"/>
    <s v="United States"/>
    <x v="142"/>
    <x v="3"/>
    <x v="2"/>
    <s v="FUR-CH-10002965"/>
    <s v="Furniture"/>
    <x v="1"/>
    <s v="Global Leather Highback Executive Chair with Pneumatic Height Adjustment, Black"/>
    <n v="422.05799999999999"/>
    <n v="3"/>
    <n v="-18.088200000000001"/>
    <x v="4"/>
    <x v="2"/>
  </r>
  <r>
    <x v="378"/>
    <x v="202"/>
    <d v="2014-12-17T00:00:00"/>
    <x v="1"/>
    <s v="WB-21850"/>
    <s v="William Brown"/>
    <x v="0"/>
    <s v="United States"/>
    <x v="41"/>
    <x v="2"/>
    <x v="1"/>
    <s v="FUR-FU-10003975"/>
    <s v="Furniture"/>
    <x v="3"/>
    <s v="Eldon Advantage Chair Mats for Low to Medium Pile Carpets"/>
    <n v="43.31"/>
    <n v="1"/>
    <n v="4.3310000000000004"/>
    <x v="2"/>
    <x v="5"/>
  </r>
  <r>
    <x v="379"/>
    <x v="49"/>
    <d v="2017-11-26T00:00:00"/>
    <x v="1"/>
    <s v="AF-10870"/>
    <s v="Art Ferguson"/>
    <x v="0"/>
    <s v="United States"/>
    <x v="143"/>
    <x v="5"/>
    <x v="3"/>
    <s v="FUR-CH-10001973"/>
    <s v="Furniture"/>
    <x v="1"/>
    <s v="Office Star Flex Back Scooter Chair with White Frame"/>
    <n v="233.05799999999999"/>
    <n v="3"/>
    <n v="-53.270400000000002"/>
    <x v="1"/>
    <x v="0"/>
  </r>
  <r>
    <x v="380"/>
    <x v="325"/>
    <d v="2016-05-05T00:00:00"/>
    <x v="1"/>
    <s v="BF-11170"/>
    <s v="Ben Ferrer"/>
    <x v="2"/>
    <s v="United States"/>
    <x v="144"/>
    <x v="5"/>
    <x v="3"/>
    <s v="FUR-FU-10004973"/>
    <s v="Furniture"/>
    <x v="3"/>
    <s v="Flat Face Poster Frame"/>
    <n v="22.608000000000001"/>
    <n v="3"/>
    <n v="-10.1736"/>
    <x v="2"/>
    <x v="6"/>
  </r>
  <r>
    <x v="381"/>
    <x v="326"/>
    <d v="2016-05-14T00:00:00"/>
    <x v="3"/>
    <s v="LH-17155"/>
    <s v="Logan Haushalter"/>
    <x v="0"/>
    <s v="United States"/>
    <x v="145"/>
    <x v="15"/>
    <x v="2"/>
    <s v="FUR-FU-10002937"/>
    <s v="Furniture"/>
    <x v="3"/>
    <s v="GE 48&quot; Fluorescent Tube, Cool White Energy Saver, 34 Watts, 30/Box"/>
    <n v="79.384"/>
    <n v="1"/>
    <n v="29.768999999999998"/>
    <x v="7"/>
    <x v="7"/>
  </r>
  <r>
    <x v="382"/>
    <x v="25"/>
    <d v="2016-10-19T00:00:00"/>
    <x v="1"/>
    <s v="HA-14920"/>
    <s v="Helen Andreada"/>
    <x v="0"/>
    <s v="United States"/>
    <x v="146"/>
    <x v="5"/>
    <x v="3"/>
    <s v="FUR-FU-10003394"/>
    <s v="Furniture"/>
    <x v="3"/>
    <s v="Tenex &quot;The Solids&quot; Textured Chair Mats"/>
    <n v="139.91999999999999"/>
    <n v="5"/>
    <n v="-150.41399999999999"/>
    <x v="6"/>
    <x v="1"/>
  </r>
  <r>
    <x v="383"/>
    <x v="49"/>
    <d v="2017-11-25T00:00:00"/>
    <x v="1"/>
    <s v="LC-16930"/>
    <s v="Linda Cazamias"/>
    <x v="1"/>
    <s v="United States"/>
    <x v="147"/>
    <x v="5"/>
    <x v="3"/>
    <s v="FUR-CH-10004675"/>
    <s v="Furniture"/>
    <x v="1"/>
    <s v="Lifetime Advantage Folding Chairs, 4/Carton"/>
    <n v="305.31200000000001"/>
    <n v="2"/>
    <n v="-8.7232000000000003"/>
    <x v="6"/>
    <x v="0"/>
  </r>
  <r>
    <x v="384"/>
    <x v="327"/>
    <d v="2016-05-11T00:00:00"/>
    <x v="1"/>
    <s v="CJ-12010"/>
    <s v="Caroline Jumper"/>
    <x v="0"/>
    <s v="United States"/>
    <x v="13"/>
    <x v="7"/>
    <x v="2"/>
    <s v="FUR-CH-10002084"/>
    <s v="Furniture"/>
    <x v="1"/>
    <s v="Hon Mobius Operator's Chair"/>
    <n v="442.76400000000001"/>
    <n v="4"/>
    <n v="59.035200000000003"/>
    <x v="4"/>
    <x v="7"/>
  </r>
  <r>
    <x v="384"/>
    <x v="327"/>
    <d v="2016-05-11T00:00:00"/>
    <x v="1"/>
    <s v="CJ-12010"/>
    <s v="Caroline Jumper"/>
    <x v="0"/>
    <s v="United States"/>
    <x v="13"/>
    <x v="7"/>
    <x v="2"/>
    <s v="FUR-FU-10001940"/>
    <s v="Furniture"/>
    <x v="3"/>
    <s v="Staple-based wall hangings"/>
    <n v="63.68"/>
    <n v="8"/>
    <n v="28.019200000000001"/>
    <x v="4"/>
    <x v="7"/>
  </r>
  <r>
    <x v="385"/>
    <x v="328"/>
    <d v="2017-08-15T00:00:00"/>
    <x v="1"/>
    <s v="IL-15100"/>
    <s v="Ivan Liston"/>
    <x v="0"/>
    <s v="United States"/>
    <x v="29"/>
    <x v="6"/>
    <x v="3"/>
    <s v="FUR-FU-10003708"/>
    <s v="Furniture"/>
    <x v="3"/>
    <s v="Tenex Traditional Chairmats for Medium Pile Carpet, Standard Lip, 36&quot; x 48&quot;"/>
    <n v="121.3"/>
    <n v="2"/>
    <n v="25.472999999999999"/>
    <x v="2"/>
    <x v="10"/>
  </r>
  <r>
    <x v="386"/>
    <x v="42"/>
    <d v="2014-06-06T00:00:00"/>
    <x v="1"/>
    <s v="LT-17110"/>
    <s v="Liz Thompson"/>
    <x v="0"/>
    <s v="United States"/>
    <x v="148"/>
    <x v="31"/>
    <x v="0"/>
    <s v="FUR-FU-10001935"/>
    <s v="Furniture"/>
    <x v="3"/>
    <s v="3M Hangers With Command Adhesive"/>
    <n v="22.2"/>
    <n v="6"/>
    <n v="9.1020000000000003"/>
    <x v="2"/>
    <x v="2"/>
  </r>
  <r>
    <x v="387"/>
    <x v="329"/>
    <d v="2015-09-12T00:00:00"/>
    <x v="1"/>
    <s v="BT-11305"/>
    <s v="Beth Thompson"/>
    <x v="2"/>
    <s v="United States"/>
    <x v="15"/>
    <x v="13"/>
    <x v="1"/>
    <s v="FUR-FU-10004748"/>
    <s v="Furniture"/>
    <x v="3"/>
    <s v="Howard Miller 16&quot; Diameter Gallery Wall Clock"/>
    <n v="191.82"/>
    <n v="3"/>
    <n v="74.809799999999996"/>
    <x v="6"/>
    <x v="4"/>
  </r>
  <r>
    <x v="388"/>
    <x v="330"/>
    <d v="2015-07-05T00:00:00"/>
    <x v="1"/>
    <s v="SC-20725"/>
    <s v="Steven Cartwright"/>
    <x v="0"/>
    <s v="United States"/>
    <x v="68"/>
    <x v="3"/>
    <x v="2"/>
    <s v="FUR-FU-10001473"/>
    <s v="Furniture"/>
    <x v="3"/>
    <s v="Eldon Executive Woodline II Desk Accessories, Mahogany"/>
    <n v="20.103999999999999"/>
    <n v="1"/>
    <n v="1.7591000000000001"/>
    <x v="6"/>
    <x v="2"/>
  </r>
  <r>
    <x v="389"/>
    <x v="295"/>
    <d v="2017-11-25T00:00:00"/>
    <x v="1"/>
    <s v="SW-20275"/>
    <s v="Scott Williamson"/>
    <x v="0"/>
    <s v="United States"/>
    <x v="13"/>
    <x v="7"/>
    <x v="2"/>
    <s v="FUR-FU-10003535"/>
    <s v="Furniture"/>
    <x v="3"/>
    <s v="Howard Miller Distant Time Traveler Alarm Clock"/>
    <n v="27.42"/>
    <n v="1"/>
    <n v="11.2422"/>
    <x v="4"/>
    <x v="0"/>
  </r>
  <r>
    <x v="390"/>
    <x v="95"/>
    <d v="2017-10-02T00:00:00"/>
    <x v="2"/>
    <s v="NS-18505"/>
    <s v="Neola Schneider"/>
    <x v="0"/>
    <s v="United States"/>
    <x v="124"/>
    <x v="2"/>
    <x v="1"/>
    <s v="FUR-CH-10000553"/>
    <s v="Furniture"/>
    <x v="1"/>
    <s v="Metal Folding Chairs, Beige, 4/Carton"/>
    <n v="108.608"/>
    <n v="4"/>
    <n v="9.5031999999999996"/>
    <x v="5"/>
    <x v="1"/>
  </r>
  <r>
    <x v="391"/>
    <x v="248"/>
    <d v="2015-12-06T00:00:00"/>
    <x v="3"/>
    <s v="DK-13375"/>
    <s v="Dennis Kane"/>
    <x v="0"/>
    <s v="United States"/>
    <x v="149"/>
    <x v="15"/>
    <x v="2"/>
    <s v="FUR-CH-10004860"/>
    <s v="Furniture"/>
    <x v="1"/>
    <s v="Global Low Back Tilter Chair"/>
    <n v="70.686000000000007"/>
    <n v="1"/>
    <n v="-24.235199999999999"/>
    <x v="7"/>
    <x v="5"/>
  </r>
  <r>
    <x v="392"/>
    <x v="331"/>
    <d v="2016-03-21T00:00:00"/>
    <x v="0"/>
    <s v="BT-11440"/>
    <s v="Bobby Trafton"/>
    <x v="0"/>
    <s v="United States"/>
    <x v="150"/>
    <x v="12"/>
    <x v="1"/>
    <s v="FUR-BO-10002202"/>
    <s v="Furniture"/>
    <x v="0"/>
    <s v="Atlantic Metals Mobile 2-Shelf Bookcases, Custom Colors"/>
    <n v="72.293999999999997"/>
    <n v="1"/>
    <n v="-98.8018"/>
    <x v="3"/>
    <x v="9"/>
  </r>
  <r>
    <x v="393"/>
    <x v="180"/>
    <d v="2016-10-05T00:00:00"/>
    <x v="1"/>
    <s v="GM-14680"/>
    <s v="Greg Matthias"/>
    <x v="0"/>
    <s v="United States"/>
    <x v="13"/>
    <x v="7"/>
    <x v="2"/>
    <s v="FUR-TA-10003238"/>
    <s v="Furniture"/>
    <x v="2"/>
    <s v="Chromcraft Bull-Nose Wood 48&quot; x 96&quot; Rectangular Conference Tables"/>
    <n v="330.58800000000002"/>
    <n v="1"/>
    <n v="-115.7058"/>
    <x v="4"/>
    <x v="1"/>
  </r>
  <r>
    <x v="394"/>
    <x v="332"/>
    <d v="2017-07-01T00:00:00"/>
    <x v="1"/>
    <s v="DB-13405"/>
    <s v="Denny Blanton"/>
    <x v="0"/>
    <s v="United States"/>
    <x v="101"/>
    <x v="6"/>
    <x v="3"/>
    <s v="FUR-FU-10000293"/>
    <s v="Furniture"/>
    <x v="3"/>
    <s v="Eldon Antistatic Chair Mats for Low to Medium Pile Carpets"/>
    <n v="526.45000000000005"/>
    <n v="5"/>
    <n v="31.587"/>
    <x v="2"/>
    <x v="2"/>
  </r>
  <r>
    <x v="395"/>
    <x v="333"/>
    <d v="2017-04-26T00:00:00"/>
    <x v="1"/>
    <s v="SJ-20125"/>
    <s v="Sanjit Jacobs"/>
    <x v="2"/>
    <s v="United States"/>
    <x v="9"/>
    <x v="8"/>
    <x v="3"/>
    <s v="FUR-FU-10004597"/>
    <s v="Furniture"/>
    <x v="3"/>
    <s v="Eldon Cleatmat Chair Mats for Medium Pile Carpets"/>
    <n v="44.4"/>
    <n v="2"/>
    <n v="-52.17"/>
    <x v="6"/>
    <x v="6"/>
  </r>
  <r>
    <x v="396"/>
    <x v="334"/>
    <d v="2016-09-22T00:00:00"/>
    <x v="1"/>
    <s v="LA-16780"/>
    <s v="Laura Armstrong"/>
    <x v="1"/>
    <s v="United States"/>
    <x v="151"/>
    <x v="39"/>
    <x v="2"/>
    <s v="FUR-FU-10004952"/>
    <s v="Furniture"/>
    <x v="3"/>
    <s v="C-Line Cubicle Keepers Polyproplyene Holder w/Velcro Back, 8-1/2x11, 25/Bx"/>
    <n v="109.48"/>
    <n v="2"/>
    <n v="33.938800000000001"/>
    <x v="2"/>
    <x v="4"/>
  </r>
  <r>
    <x v="397"/>
    <x v="140"/>
    <d v="2017-06-19T00:00:00"/>
    <x v="2"/>
    <s v="TS-21610"/>
    <s v="Troy Staebel"/>
    <x v="0"/>
    <s v="United States"/>
    <x v="28"/>
    <x v="2"/>
    <x v="1"/>
    <s v="FUR-CH-10000015"/>
    <s v="Furniture"/>
    <x v="1"/>
    <s v="Hon Multipurpose Stacking Arm Chairs"/>
    <n v="1212.96"/>
    <n v="7"/>
    <n v="90.971999999999994"/>
    <x v="0"/>
    <x v="2"/>
  </r>
  <r>
    <x v="398"/>
    <x v="335"/>
    <d v="2017-02-09T00:00:00"/>
    <x v="2"/>
    <s v="MV-17485"/>
    <s v="Mark Van Huff"/>
    <x v="0"/>
    <s v="United States"/>
    <x v="58"/>
    <x v="25"/>
    <x v="0"/>
    <s v="FUR-BO-10004015"/>
    <s v="Furniture"/>
    <x v="0"/>
    <s v="Bush Andora Bookcase, Maple/Graphite Gray Finish"/>
    <n v="359.97"/>
    <n v="3"/>
    <n v="79.193399999999997"/>
    <x v="0"/>
    <x v="11"/>
  </r>
  <r>
    <x v="399"/>
    <x v="336"/>
    <d v="2015-03-11T00:00:00"/>
    <x v="1"/>
    <s v="JL-15850"/>
    <s v="John Lucas"/>
    <x v="0"/>
    <s v="United States"/>
    <x v="28"/>
    <x v="2"/>
    <x v="1"/>
    <s v="FUR-FU-10000308"/>
    <s v="Furniture"/>
    <x v="3"/>
    <s v="Deflect-o Glass Clear Studded Chair Mats"/>
    <n v="435.26"/>
    <n v="7"/>
    <n v="95.757199999999997"/>
    <x v="2"/>
    <x v="9"/>
  </r>
  <r>
    <x v="400"/>
    <x v="215"/>
    <d v="2014-10-08T00:00:00"/>
    <x v="0"/>
    <s v="AR-10405"/>
    <s v="Allen Rosenblatt"/>
    <x v="1"/>
    <s v="United States"/>
    <x v="2"/>
    <x v="2"/>
    <x v="1"/>
    <s v="FUR-TA-10001866"/>
    <s v="Furniture"/>
    <x v="2"/>
    <s v="Bevis Round Conference Room Tables and Bases"/>
    <n v="143.43199999999999"/>
    <n v="1"/>
    <n v="3.5857999999999999"/>
    <x v="2"/>
    <x v="1"/>
  </r>
  <r>
    <x v="400"/>
    <x v="215"/>
    <d v="2014-10-08T00:00:00"/>
    <x v="0"/>
    <s v="AR-10405"/>
    <s v="Allen Rosenblatt"/>
    <x v="1"/>
    <s v="United States"/>
    <x v="2"/>
    <x v="2"/>
    <x v="1"/>
    <s v="FUR-CH-10002774"/>
    <s v="Furniture"/>
    <x v="1"/>
    <s v="Global Deluxe Stacking Chair, Gray"/>
    <n v="122.352"/>
    <n v="3"/>
    <n v="13.7646"/>
    <x v="2"/>
    <x v="1"/>
  </r>
  <r>
    <x v="401"/>
    <x v="337"/>
    <d v="2014-07-01T00:00:00"/>
    <x v="1"/>
    <s v="LM-17065"/>
    <s v="Liz MacKendrick"/>
    <x v="0"/>
    <s v="United States"/>
    <x v="152"/>
    <x v="21"/>
    <x v="0"/>
    <s v="FUR-TA-10001039"/>
    <s v="Furniture"/>
    <x v="2"/>
    <s v="KI Adjustable-Height Table"/>
    <n v="85.98"/>
    <n v="1"/>
    <n v="22.354800000000001"/>
    <x v="4"/>
    <x v="2"/>
  </r>
  <r>
    <x v="402"/>
    <x v="242"/>
    <d v="2017-11-02T00:00:00"/>
    <x v="2"/>
    <s v="JK-15625"/>
    <s v="Jim Karlsson"/>
    <x v="0"/>
    <s v="United States"/>
    <x v="15"/>
    <x v="13"/>
    <x v="1"/>
    <s v="FUR-CH-10003833"/>
    <s v="Furniture"/>
    <x v="1"/>
    <s v="Novimex Fabric Task Chair"/>
    <n v="97.567999999999998"/>
    <n v="2"/>
    <n v="-6.0979999999999999"/>
    <x v="0"/>
    <x v="1"/>
  </r>
  <r>
    <x v="402"/>
    <x v="242"/>
    <d v="2017-11-02T00:00:00"/>
    <x v="2"/>
    <s v="JK-15625"/>
    <s v="Jim Karlsson"/>
    <x v="0"/>
    <s v="United States"/>
    <x v="15"/>
    <x v="13"/>
    <x v="1"/>
    <s v="FUR-CH-10004289"/>
    <s v="Furniture"/>
    <x v="1"/>
    <s v="Global Super Steno Chair"/>
    <n v="614.27200000000005"/>
    <n v="8"/>
    <n v="-23.0352"/>
    <x v="0"/>
    <x v="1"/>
  </r>
  <r>
    <x v="402"/>
    <x v="242"/>
    <d v="2017-11-02T00:00:00"/>
    <x v="2"/>
    <s v="JK-15625"/>
    <s v="Jim Karlsson"/>
    <x v="0"/>
    <s v="United States"/>
    <x v="15"/>
    <x v="13"/>
    <x v="1"/>
    <s v="FUR-BO-10004467"/>
    <s v="Furniture"/>
    <x v="0"/>
    <s v="Bestar Classic Bookcase"/>
    <n v="199.98"/>
    <n v="2"/>
    <n v="37.996200000000002"/>
    <x v="0"/>
    <x v="1"/>
  </r>
  <r>
    <x v="403"/>
    <x v="338"/>
    <d v="2017-01-11T00:00:00"/>
    <x v="2"/>
    <s v="RS-19420"/>
    <s v="Ricardo Sperren"/>
    <x v="1"/>
    <s v="United States"/>
    <x v="15"/>
    <x v="13"/>
    <x v="1"/>
    <s v="FUR-TA-10001950"/>
    <s v="Furniture"/>
    <x v="2"/>
    <s v="Balt Solid Wood Round Tables"/>
    <n v="892.98"/>
    <n v="2"/>
    <n v="80.368200000000002"/>
    <x v="0"/>
    <x v="8"/>
  </r>
  <r>
    <x v="404"/>
    <x v="339"/>
    <d v="2015-04-25T00:00:00"/>
    <x v="1"/>
    <s v="TS-21160"/>
    <s v="Theresa Swint"/>
    <x v="1"/>
    <s v="United States"/>
    <x v="29"/>
    <x v="24"/>
    <x v="0"/>
    <s v="FUR-FU-10002937"/>
    <s v="Furniture"/>
    <x v="3"/>
    <s v="GE 48&quot; Fluorescent Tube, Cool White Energy Saver, 34 Watts, 30/Box"/>
    <n v="595.38"/>
    <n v="6"/>
    <n v="297.69"/>
    <x v="2"/>
    <x v="6"/>
  </r>
  <r>
    <x v="405"/>
    <x v="340"/>
    <d v="2017-12-27T00:00:00"/>
    <x v="1"/>
    <s v="FM-14215"/>
    <s v="Filia McAdams"/>
    <x v="1"/>
    <s v="United States"/>
    <x v="108"/>
    <x v="19"/>
    <x v="2"/>
    <s v="FUR-FU-10003708"/>
    <s v="Furniture"/>
    <x v="3"/>
    <s v="Tenex Traditional Chairmats for Medium Pile Carpet, Standard Lip, 36&quot; x 48&quot;"/>
    <n v="181.95"/>
    <n v="3"/>
    <n v="38.209499999999998"/>
    <x v="4"/>
    <x v="5"/>
  </r>
  <r>
    <x v="406"/>
    <x v="341"/>
    <d v="2015-11-05T00:00:00"/>
    <x v="1"/>
    <s v="VD-21670"/>
    <s v="Valerie Dominguez"/>
    <x v="0"/>
    <s v="United States"/>
    <x v="13"/>
    <x v="7"/>
    <x v="2"/>
    <s v="FUR-FU-10000965"/>
    <s v="Furniture"/>
    <x v="3"/>
    <s v="Howard Miller 11-1/2&quot; Diameter Ridgewood Wall Clock"/>
    <n v="259.7"/>
    <n v="5"/>
    <n v="106.477"/>
    <x v="4"/>
    <x v="0"/>
  </r>
  <r>
    <x v="407"/>
    <x v="342"/>
    <d v="2017-09-22T00:00:00"/>
    <x v="0"/>
    <s v="MO-17800"/>
    <s v="Meg O'Connel"/>
    <x v="2"/>
    <s v="United States"/>
    <x v="153"/>
    <x v="24"/>
    <x v="0"/>
    <s v="FUR-CH-10000785"/>
    <s v="Furniture"/>
    <x v="1"/>
    <s v="Global Ergonomic Managers Chair"/>
    <n v="723.92"/>
    <n v="4"/>
    <n v="188.2192"/>
    <x v="2"/>
    <x v="4"/>
  </r>
  <r>
    <x v="408"/>
    <x v="207"/>
    <d v="2016-12-24T00:00:00"/>
    <x v="2"/>
    <s v="BP-11185"/>
    <s v="Ben Peterman"/>
    <x v="1"/>
    <s v="United States"/>
    <x v="9"/>
    <x v="8"/>
    <x v="3"/>
    <s v="FUR-BO-10003441"/>
    <s v="Furniture"/>
    <x v="0"/>
    <s v="Bush Westfield Collection Bookcases, Fully Assembled"/>
    <n v="141.37200000000001"/>
    <n v="2"/>
    <n v="-14.1372"/>
    <x v="5"/>
    <x v="5"/>
  </r>
  <r>
    <x v="409"/>
    <x v="343"/>
    <d v="2017-06-12T00:00:00"/>
    <x v="2"/>
    <s v="BC-11125"/>
    <s v="Becky Castell"/>
    <x v="2"/>
    <s v="United States"/>
    <x v="117"/>
    <x v="22"/>
    <x v="1"/>
    <s v="FUR-CH-10001394"/>
    <s v="Furniture"/>
    <x v="1"/>
    <s v="Global Leather Executive Chair"/>
    <n v="280.79199999999997"/>
    <n v="1"/>
    <n v="35.098999999999997"/>
    <x v="5"/>
    <x v="2"/>
  </r>
  <r>
    <x v="410"/>
    <x v="96"/>
    <d v="2017-07-25T00:00:00"/>
    <x v="1"/>
    <s v="EM-13825"/>
    <s v="Elizabeth Moffitt"/>
    <x v="1"/>
    <s v="United States"/>
    <x v="154"/>
    <x v="40"/>
    <x v="3"/>
    <s v="FUR-CH-10003833"/>
    <s v="Furniture"/>
    <x v="1"/>
    <s v="Novimex Fabric Task Chair"/>
    <n v="182.94"/>
    <n v="3"/>
    <n v="27.440999999999999"/>
    <x v="2"/>
    <x v="3"/>
  </r>
  <r>
    <x v="411"/>
    <x v="195"/>
    <d v="2015-09-19T00:00:00"/>
    <x v="0"/>
    <s v="BM-11575"/>
    <s v="Brendan Murry"/>
    <x v="1"/>
    <s v="United States"/>
    <x v="13"/>
    <x v="7"/>
    <x v="2"/>
    <s v="FUR-BO-10004709"/>
    <s v="Furniture"/>
    <x v="0"/>
    <s v="Bush Westfield Collection Bookcases, Medium Cherry Finish"/>
    <n v="46.384"/>
    <n v="1"/>
    <n v="1.1596"/>
    <x v="4"/>
    <x v="4"/>
  </r>
  <r>
    <x v="412"/>
    <x v="344"/>
    <d v="2015-12-29T00:00:00"/>
    <x v="1"/>
    <s v="JD-16150"/>
    <s v="Justin Deggeller"/>
    <x v="1"/>
    <s v="United States"/>
    <x v="3"/>
    <x v="3"/>
    <x v="2"/>
    <s v="FUR-FU-10001468"/>
    <s v="Furniture"/>
    <x v="3"/>
    <s v="Tenex Antistatic Computer Chair Mats"/>
    <n v="547.13599999999997"/>
    <n v="4"/>
    <n v="-68.391999999999996"/>
    <x v="4"/>
    <x v="5"/>
  </r>
  <r>
    <x v="413"/>
    <x v="252"/>
    <d v="2015-01-03T00:00:00"/>
    <x v="2"/>
    <s v="GM-14455"/>
    <s v="Gary Mitchum"/>
    <x v="2"/>
    <s v="United States"/>
    <x v="20"/>
    <x v="20"/>
    <x v="2"/>
    <s v="FUR-FU-10002501"/>
    <s v="Furniture"/>
    <x v="3"/>
    <s v="Nu-Dell Executive Frame"/>
    <n v="63.2"/>
    <n v="5"/>
    <n v="23.384"/>
    <x v="0"/>
    <x v="5"/>
  </r>
  <r>
    <x v="414"/>
    <x v="345"/>
    <d v="2016-03-18T00:00:00"/>
    <x v="1"/>
    <s v="LT-17110"/>
    <s v="Liz Thompson"/>
    <x v="0"/>
    <s v="United States"/>
    <x v="21"/>
    <x v="5"/>
    <x v="3"/>
    <s v="FUR-TA-10004619"/>
    <s v="Furniture"/>
    <x v="2"/>
    <s v="Hon Non-Folding Utility Tables"/>
    <n v="557.58500000000004"/>
    <n v="5"/>
    <n v="0"/>
    <x v="2"/>
    <x v="9"/>
  </r>
  <r>
    <x v="415"/>
    <x v="346"/>
    <d v="2015-09-02T00:00:00"/>
    <x v="2"/>
    <s v="SC-20260"/>
    <s v="Scott Cohen"/>
    <x v="1"/>
    <s v="United States"/>
    <x v="28"/>
    <x v="2"/>
    <x v="1"/>
    <s v="FUR-BO-10002545"/>
    <s v="Furniture"/>
    <x v="0"/>
    <s v="Atlantic Metals Mobile 3-Shelf Bookcases, Custom Colors"/>
    <n v="1552.8309999999999"/>
    <n v="7"/>
    <n v="200.9546"/>
    <x v="3"/>
    <x v="10"/>
  </r>
  <r>
    <x v="416"/>
    <x v="347"/>
    <d v="2014-03-21T00:00:00"/>
    <x v="1"/>
    <s v="CP-12340"/>
    <s v="Christine Phan"/>
    <x v="1"/>
    <s v="United States"/>
    <x v="13"/>
    <x v="7"/>
    <x v="2"/>
    <s v="FUR-TA-10003473"/>
    <s v="Furniture"/>
    <x v="2"/>
    <s v="Bretford Rectangular Conference Table Tops"/>
    <n v="1579.7460000000001"/>
    <n v="7"/>
    <n v="-447.59469999999999"/>
    <x v="4"/>
    <x v="9"/>
  </r>
  <r>
    <x v="416"/>
    <x v="347"/>
    <d v="2014-03-21T00:00:00"/>
    <x v="1"/>
    <s v="CP-12340"/>
    <s v="Christine Phan"/>
    <x v="1"/>
    <s v="United States"/>
    <x v="13"/>
    <x v="7"/>
    <x v="2"/>
    <s v="FUR-TA-10001950"/>
    <s v="Furniture"/>
    <x v="2"/>
    <s v="Balt Solid Wood Round Tables"/>
    <n v="1071.576"/>
    <n v="4"/>
    <n v="-553.64760000000001"/>
    <x v="4"/>
    <x v="9"/>
  </r>
  <r>
    <x v="416"/>
    <x v="347"/>
    <d v="2014-03-21T00:00:00"/>
    <x v="1"/>
    <s v="CP-12340"/>
    <s v="Christine Phan"/>
    <x v="1"/>
    <s v="United States"/>
    <x v="13"/>
    <x v="7"/>
    <x v="2"/>
    <s v="FUR-TA-10004175"/>
    <s v="Furniture"/>
    <x v="2"/>
    <s v="Hon 30&quot; x 60&quot; Table with Locking Drawer"/>
    <n v="613.90800000000002"/>
    <n v="3"/>
    <n v="-122.7816"/>
    <x v="4"/>
    <x v="9"/>
  </r>
  <r>
    <x v="417"/>
    <x v="345"/>
    <d v="2016-03-18T00:00:00"/>
    <x v="1"/>
    <s v="AB-10060"/>
    <s v="Adam Bellavance"/>
    <x v="2"/>
    <s v="United States"/>
    <x v="61"/>
    <x v="25"/>
    <x v="0"/>
    <s v="FUR-FU-10004864"/>
    <s v="Furniture"/>
    <x v="3"/>
    <s v="Howard Miller 14-1/2&quot; Diameter Chrome Round Wall Clock"/>
    <n v="127.88"/>
    <n v="2"/>
    <n v="40.921599999999998"/>
    <x v="2"/>
    <x v="9"/>
  </r>
  <r>
    <x v="418"/>
    <x v="168"/>
    <d v="2014-11-26T00:00:00"/>
    <x v="0"/>
    <s v="EH-13990"/>
    <s v="Erica Hackney"/>
    <x v="0"/>
    <s v="United States"/>
    <x v="155"/>
    <x v="2"/>
    <x v="1"/>
    <s v="FUR-CH-10001714"/>
    <s v="Furniture"/>
    <x v="1"/>
    <s v="Global Leather &amp; Oak Executive Chair, Burgundy"/>
    <n v="120.712"/>
    <n v="1"/>
    <n v="-18.1068"/>
    <x v="3"/>
    <x v="0"/>
  </r>
  <r>
    <x v="419"/>
    <x v="348"/>
    <d v="2016-09-27T00:00:00"/>
    <x v="1"/>
    <s v="KL-16555"/>
    <s v="Kelly Lampkin"/>
    <x v="1"/>
    <s v="United States"/>
    <x v="130"/>
    <x v="15"/>
    <x v="2"/>
    <s v="FUR-FU-10002298"/>
    <s v="Furniture"/>
    <x v="3"/>
    <s v="Rubbermaid ClusterMat Chairmats, Mat Size- 66&quot; x 60&quot;, Lip 20&quot; x 11&quot; -90 Degree Angle"/>
    <n v="532.70399999999995"/>
    <n v="6"/>
    <n v="-26.635200000000001"/>
    <x v="4"/>
    <x v="4"/>
  </r>
  <r>
    <x v="420"/>
    <x v="281"/>
    <d v="2016-07-11T00:00:00"/>
    <x v="0"/>
    <s v="BF-11020"/>
    <s v="Barry Franzšsisch"/>
    <x v="1"/>
    <s v="United States"/>
    <x v="14"/>
    <x v="8"/>
    <x v="3"/>
    <s v="FUR-FU-10004973"/>
    <s v="Furniture"/>
    <x v="3"/>
    <s v="Flat Face Poster Frame"/>
    <n v="60.287999999999997"/>
    <n v="8"/>
    <n v="-27.1296"/>
    <x v="4"/>
    <x v="3"/>
  </r>
  <r>
    <x v="420"/>
    <x v="281"/>
    <d v="2016-07-11T00:00:00"/>
    <x v="0"/>
    <s v="BF-11020"/>
    <s v="Barry Franzšsisch"/>
    <x v="1"/>
    <s v="United States"/>
    <x v="14"/>
    <x v="8"/>
    <x v="3"/>
    <s v="FUR-CH-10000785"/>
    <s v="Furniture"/>
    <x v="1"/>
    <s v="Global Ergonomic Managers Chair"/>
    <n v="253.37200000000001"/>
    <n v="2"/>
    <n v="-14.478400000000001"/>
    <x v="4"/>
    <x v="3"/>
  </r>
  <r>
    <x v="421"/>
    <x v="349"/>
    <d v="2016-05-10T00:00:00"/>
    <x v="1"/>
    <s v="BE-11455"/>
    <s v="Brad Eason"/>
    <x v="2"/>
    <s v="United States"/>
    <x v="75"/>
    <x v="15"/>
    <x v="2"/>
    <s v="FUR-FU-10004848"/>
    <s v="Furniture"/>
    <x v="3"/>
    <s v="DAX Solid Wood Frames"/>
    <n v="54.712000000000003"/>
    <n v="7"/>
    <n v="11.626300000000001"/>
    <x v="4"/>
    <x v="7"/>
  </r>
  <r>
    <x v="422"/>
    <x v="248"/>
    <d v="2015-12-10T00:00:00"/>
    <x v="1"/>
    <s v="SG-20605"/>
    <s v="Speros Goranitis"/>
    <x v="0"/>
    <s v="United States"/>
    <x v="13"/>
    <x v="7"/>
    <x v="2"/>
    <s v="FUR-FU-10002878"/>
    <s v="Furniture"/>
    <x v="3"/>
    <s v="Seth Thomas 14&quot; Day/Date Wall Clock"/>
    <n v="113.92"/>
    <n v="4"/>
    <n v="42.150399999999998"/>
    <x v="4"/>
    <x v="5"/>
  </r>
  <r>
    <x v="423"/>
    <x v="350"/>
    <d v="2016-10-03T00:00:00"/>
    <x v="1"/>
    <s v="HM-14860"/>
    <s v="Harry Marie"/>
    <x v="1"/>
    <s v="United States"/>
    <x v="156"/>
    <x v="5"/>
    <x v="3"/>
    <s v="FUR-BO-10000780"/>
    <s v="Furniture"/>
    <x v="0"/>
    <s v="O'Sullivan Plantations 2-Door Library in Landvery Oak"/>
    <n v="956.66480000000001"/>
    <n v="7"/>
    <n v="-225.0976"/>
    <x v="6"/>
    <x v="4"/>
  </r>
  <r>
    <x v="424"/>
    <x v="351"/>
    <d v="2017-03-25T00:00:00"/>
    <x v="2"/>
    <s v="BE-11335"/>
    <s v="Bill Eplett"/>
    <x v="2"/>
    <s v="United States"/>
    <x v="28"/>
    <x v="2"/>
    <x v="1"/>
    <s v="FUR-FU-10000758"/>
    <s v="Furniture"/>
    <x v="3"/>
    <s v="DAX Natural Wood-Tone Poster Frame"/>
    <n v="211.84"/>
    <n v="8"/>
    <n v="76.2624"/>
    <x v="3"/>
    <x v="9"/>
  </r>
  <r>
    <x v="425"/>
    <x v="352"/>
    <d v="2014-11-16T00:00:00"/>
    <x v="1"/>
    <s v="JA-15970"/>
    <s v="Joseph Airdo"/>
    <x v="0"/>
    <s v="United States"/>
    <x v="2"/>
    <x v="2"/>
    <x v="1"/>
    <s v="FUR-TA-10002356"/>
    <s v="Furniture"/>
    <x v="2"/>
    <s v="Bevis Boat-Shaped Conference Table"/>
    <n v="629.06399999999996"/>
    <n v="3"/>
    <n v="31.453199999999999"/>
    <x v="4"/>
    <x v="0"/>
  </r>
  <r>
    <x v="426"/>
    <x v="353"/>
    <d v="2017-01-02T00:00:00"/>
    <x v="1"/>
    <s v="TB-21595"/>
    <s v="Troy Blackwell"/>
    <x v="0"/>
    <s v="United States"/>
    <x v="79"/>
    <x v="16"/>
    <x v="3"/>
    <s v="FUR-CH-10001714"/>
    <s v="Furniture"/>
    <x v="1"/>
    <s v="Global Leather &amp; Oak Executive Chair, Burgundy"/>
    <n v="754.45"/>
    <n v="5"/>
    <n v="60.356000000000002"/>
    <x v="4"/>
    <x v="5"/>
  </r>
  <r>
    <x v="427"/>
    <x v="171"/>
    <d v="2015-07-11T00:00:00"/>
    <x v="1"/>
    <s v="PP-18955"/>
    <s v="Paul Prost"/>
    <x v="2"/>
    <s v="United States"/>
    <x v="157"/>
    <x v="20"/>
    <x v="2"/>
    <s v="FUR-BO-10002824"/>
    <s v="Furniture"/>
    <x v="0"/>
    <s v="Bush Mission Pointe Library"/>
    <n v="301.95999999999998"/>
    <n v="2"/>
    <n v="60.392000000000003"/>
    <x v="2"/>
    <x v="3"/>
  </r>
  <r>
    <x v="428"/>
    <x v="19"/>
    <d v="2017-12-30T00:00:00"/>
    <x v="1"/>
    <s v="SV-20935"/>
    <s v="Susan Vittorini"/>
    <x v="0"/>
    <s v="United States"/>
    <x v="130"/>
    <x v="15"/>
    <x v="2"/>
    <s v="FUR-TA-10002645"/>
    <s v="Furniture"/>
    <x v="2"/>
    <s v="Hon Rectangular Conference Tables"/>
    <n v="273.06"/>
    <n v="2"/>
    <n v="-104.673"/>
    <x v="2"/>
    <x v="5"/>
  </r>
  <r>
    <x v="429"/>
    <x v="354"/>
    <d v="2016-06-17T00:00:00"/>
    <x v="1"/>
    <s v="MZ-17515"/>
    <s v="Mary Zewe"/>
    <x v="1"/>
    <s v="United States"/>
    <x v="58"/>
    <x v="5"/>
    <x v="3"/>
    <s v="FUR-FU-10004415"/>
    <s v="Furniture"/>
    <x v="3"/>
    <s v="Stacking Tray, Side-Loading, Legal, Smoke"/>
    <n v="12.544"/>
    <n v="7"/>
    <n v="-9.0944000000000003"/>
    <x v="6"/>
    <x v="2"/>
  </r>
  <r>
    <x v="430"/>
    <x v="158"/>
    <d v="2018-01-02T00:00:00"/>
    <x v="1"/>
    <s v="HM-14860"/>
    <s v="Harry Marie"/>
    <x v="1"/>
    <s v="United States"/>
    <x v="15"/>
    <x v="13"/>
    <x v="1"/>
    <s v="FUR-FU-10001935"/>
    <s v="Furniture"/>
    <x v="3"/>
    <s v="3M Hangers With Command Adhesive"/>
    <n v="7.4"/>
    <n v="2"/>
    <n v="3.0339999999999998"/>
    <x v="2"/>
    <x v="5"/>
  </r>
  <r>
    <x v="431"/>
    <x v="355"/>
    <d v="2014-04-01T00:00:00"/>
    <x v="1"/>
    <s v="AZ-10750"/>
    <s v="Annie Zypern"/>
    <x v="0"/>
    <s v="United States"/>
    <x v="13"/>
    <x v="7"/>
    <x v="2"/>
    <s v="FUR-CH-10002439"/>
    <s v="Furniture"/>
    <x v="1"/>
    <s v="Iceberg Nesting Folding Chair, 19w x 6d x 43h"/>
    <n v="366.786"/>
    <n v="7"/>
    <n v="65.206400000000002"/>
    <x v="1"/>
    <x v="9"/>
  </r>
  <r>
    <x v="432"/>
    <x v="209"/>
    <d v="2017-07-10T00:00:00"/>
    <x v="1"/>
    <s v="CA-12265"/>
    <s v="Christina Anderson"/>
    <x v="0"/>
    <s v="United States"/>
    <x v="158"/>
    <x v="41"/>
    <x v="1"/>
    <s v="FUR-FU-10003708"/>
    <s v="Furniture"/>
    <x v="3"/>
    <s v="Tenex Traditional Chairmats for Medium Pile Carpet, Standard Lip, 36&quot; x 48&quot;"/>
    <n v="545.85"/>
    <n v="9"/>
    <n v="114.6285"/>
    <x v="1"/>
    <x v="3"/>
  </r>
  <r>
    <x v="433"/>
    <x v="356"/>
    <d v="2014-11-20T00:00:00"/>
    <x v="0"/>
    <s v="PW-19240"/>
    <s v="Pierre Wener"/>
    <x v="0"/>
    <s v="United States"/>
    <x v="74"/>
    <x v="12"/>
    <x v="1"/>
    <s v="FUR-TA-10000849"/>
    <s v="Furniture"/>
    <x v="2"/>
    <s v="Bevis Rectangular Conference Tables"/>
    <n v="145.97999999999999"/>
    <n v="2"/>
    <n v="-99.266400000000004"/>
    <x v="3"/>
    <x v="0"/>
  </r>
  <r>
    <x v="434"/>
    <x v="357"/>
    <d v="2017-07-22T00:00:00"/>
    <x v="1"/>
    <s v="SW-20455"/>
    <s v="Shaun Weien"/>
    <x v="0"/>
    <s v="United States"/>
    <x v="26"/>
    <x v="1"/>
    <x v="0"/>
    <s v="FUR-FU-10002597"/>
    <s v="Furniture"/>
    <x v="3"/>
    <s v="C-Line Magnetic Cubicle Keepers, Clear Polypropylene"/>
    <n v="7.9039999999999999"/>
    <n v="2"/>
    <n v="2.1736"/>
    <x v="2"/>
    <x v="3"/>
  </r>
  <r>
    <x v="435"/>
    <x v="358"/>
    <d v="2016-05-27T00:00:00"/>
    <x v="1"/>
    <s v="AF-10870"/>
    <s v="Art Ferguson"/>
    <x v="0"/>
    <s v="United States"/>
    <x v="159"/>
    <x v="18"/>
    <x v="2"/>
    <s v="FUR-TA-10003748"/>
    <s v="Furniture"/>
    <x v="2"/>
    <s v="Bevis 36 x 72 Conference Tables"/>
    <n v="174.286"/>
    <n v="2"/>
    <n v="-19.918399999999998"/>
    <x v="2"/>
    <x v="7"/>
  </r>
  <r>
    <x v="436"/>
    <x v="359"/>
    <d v="2016-11-06T00:00:00"/>
    <x v="1"/>
    <s v="BD-11320"/>
    <s v="Bill Donatelli"/>
    <x v="0"/>
    <s v="United States"/>
    <x v="3"/>
    <x v="3"/>
    <x v="2"/>
    <s v="FUR-CH-10000988"/>
    <s v="Furniture"/>
    <x v="1"/>
    <s v="Hon Olson Stacker Stools"/>
    <n v="492.83499999999998"/>
    <n v="5"/>
    <n v="-14.081"/>
    <x v="6"/>
    <x v="1"/>
  </r>
  <r>
    <x v="437"/>
    <x v="360"/>
    <d v="2016-01-28T00:00:00"/>
    <x v="1"/>
    <s v="CM-11935"/>
    <s v="Carlos Meador"/>
    <x v="0"/>
    <s v="United States"/>
    <x v="160"/>
    <x v="30"/>
    <x v="0"/>
    <s v="FUR-FU-10002107"/>
    <s v="Furniture"/>
    <x v="3"/>
    <s v="Eldon Pizzaz Desk Accessories"/>
    <n v="14.272"/>
    <n v="8"/>
    <n v="4.2816000000000001"/>
    <x v="6"/>
    <x v="8"/>
  </r>
  <r>
    <x v="437"/>
    <x v="360"/>
    <d v="2016-01-28T00:00:00"/>
    <x v="1"/>
    <s v="CM-11935"/>
    <s v="Carlos Meador"/>
    <x v="0"/>
    <s v="United States"/>
    <x v="160"/>
    <x v="30"/>
    <x v="0"/>
    <s v="FUR-BO-10002213"/>
    <s v="Furniture"/>
    <x v="0"/>
    <s v="Sauder Forest Hills Library, Woodland Oak Finish"/>
    <n v="451.13600000000002"/>
    <n v="4"/>
    <n v="-67.670400000000001"/>
    <x v="6"/>
    <x v="8"/>
  </r>
  <r>
    <x v="438"/>
    <x v="361"/>
    <d v="2016-11-06T00:00:00"/>
    <x v="2"/>
    <s v="PF-19225"/>
    <s v="Phillip Flathmann"/>
    <x v="0"/>
    <s v="United States"/>
    <x v="2"/>
    <x v="2"/>
    <x v="1"/>
    <s v="FUR-CH-10001190"/>
    <s v="Furniture"/>
    <x v="1"/>
    <s v="Global Deluxe High-Back Office Chair in Storm"/>
    <n v="217.584"/>
    <n v="2"/>
    <n v="-29.9178"/>
    <x v="0"/>
    <x v="0"/>
  </r>
  <r>
    <x v="439"/>
    <x v="362"/>
    <d v="2017-09-08T00:00:00"/>
    <x v="0"/>
    <s v="GM-14695"/>
    <s v="Greg Maxwell"/>
    <x v="1"/>
    <s v="United States"/>
    <x v="2"/>
    <x v="2"/>
    <x v="1"/>
    <s v="FUR-TA-10000198"/>
    <s v="Furniture"/>
    <x v="2"/>
    <s v="Chromcraft Bull-Nose Wood Oval Conference Tables &amp; Bases"/>
    <n v="1322.3520000000001"/>
    <n v="3"/>
    <n v="-99.176400000000001"/>
    <x v="4"/>
    <x v="4"/>
  </r>
  <r>
    <x v="440"/>
    <x v="363"/>
    <d v="2017-09-03T00:00:00"/>
    <x v="1"/>
    <s v="KN-16705"/>
    <s v="Kristina Nunn"/>
    <x v="2"/>
    <s v="United States"/>
    <x v="15"/>
    <x v="13"/>
    <x v="1"/>
    <s v="FUR-TA-10000617"/>
    <s v="Furniture"/>
    <x v="2"/>
    <s v="Hon Practical Foundations 30 x 60 Training Table, Light Gray/Charcoal"/>
    <n v="1137.75"/>
    <n v="5"/>
    <n v="250.30500000000001"/>
    <x v="6"/>
    <x v="10"/>
  </r>
  <r>
    <x v="441"/>
    <x v="364"/>
    <d v="2016-09-14T00:00:00"/>
    <x v="0"/>
    <s v="KT-16480"/>
    <s v="Kean Thornton"/>
    <x v="0"/>
    <s v="United States"/>
    <x v="6"/>
    <x v="5"/>
    <x v="3"/>
    <s v="FUR-TA-10004086"/>
    <s v="Furniture"/>
    <x v="2"/>
    <s v="KI Adjustable-Height Table"/>
    <n v="300.93"/>
    <n v="5"/>
    <n v="-34.392000000000003"/>
    <x v="4"/>
    <x v="4"/>
  </r>
  <r>
    <x v="442"/>
    <x v="365"/>
    <d v="2014-06-22T00:00:00"/>
    <x v="1"/>
    <s v="SC-20575"/>
    <s v="Sonia Cooley"/>
    <x v="0"/>
    <s v="United States"/>
    <x v="161"/>
    <x v="6"/>
    <x v="3"/>
    <s v="FUR-CH-10000225"/>
    <s v="Furniture"/>
    <x v="1"/>
    <s v="Global Geo Office Task Chair, Gray"/>
    <n v="647.84"/>
    <n v="8"/>
    <n v="32.392000000000003"/>
    <x v="6"/>
    <x v="2"/>
  </r>
  <r>
    <x v="443"/>
    <x v="366"/>
    <d v="2014-07-27T00:00:00"/>
    <x v="0"/>
    <s v="KL-16645"/>
    <s v="Ken Lonsdale"/>
    <x v="0"/>
    <s v="United States"/>
    <x v="28"/>
    <x v="2"/>
    <x v="1"/>
    <s v="FUR-FU-10004351"/>
    <s v="Furniture"/>
    <x v="3"/>
    <s v="Staple-based wall hangings"/>
    <n v="77.92"/>
    <n v="8"/>
    <n v="34.284799999999997"/>
    <x v="3"/>
    <x v="3"/>
  </r>
  <r>
    <x v="444"/>
    <x v="367"/>
    <d v="2016-11-17T00:00:00"/>
    <x v="1"/>
    <s v="BB-11545"/>
    <s v="Brenda Bowman"/>
    <x v="1"/>
    <s v="United States"/>
    <x v="9"/>
    <x v="8"/>
    <x v="3"/>
    <s v="FUR-CH-10004540"/>
    <s v="Furniture"/>
    <x v="1"/>
    <s v="Global Chrome Stack Chair"/>
    <n v="47.991999999999997"/>
    <n v="2"/>
    <n v="-2.0568"/>
    <x v="6"/>
    <x v="0"/>
  </r>
  <r>
    <x v="445"/>
    <x v="368"/>
    <d v="2017-05-07T00:00:00"/>
    <x v="1"/>
    <s v="DW-13585"/>
    <s v="Dorothy Wardle"/>
    <x v="1"/>
    <s v="United States"/>
    <x v="162"/>
    <x v="18"/>
    <x v="2"/>
    <s v="FUR-FU-10003975"/>
    <s v="Furniture"/>
    <x v="3"/>
    <s v="Eldon Advantage Chair Mats for Low to Medium Pile Carpets"/>
    <n v="129.93"/>
    <n v="3"/>
    <n v="12.993"/>
    <x v="2"/>
    <x v="7"/>
  </r>
  <r>
    <x v="446"/>
    <x v="369"/>
    <d v="2015-01-29T00:00:00"/>
    <x v="0"/>
    <s v="SV-20365"/>
    <s v="Seth Vernon"/>
    <x v="0"/>
    <s v="United States"/>
    <x v="59"/>
    <x v="15"/>
    <x v="2"/>
    <s v="FUR-CH-10000513"/>
    <s v="Furniture"/>
    <x v="1"/>
    <s v="High-Back Leather Manager's Chair"/>
    <n v="181.98599999999999"/>
    <n v="2"/>
    <n v="-54.595799999999997"/>
    <x v="3"/>
    <x v="8"/>
  </r>
  <r>
    <x v="447"/>
    <x v="370"/>
    <d v="2015-07-16T00:00:00"/>
    <x v="3"/>
    <s v="EM-13810"/>
    <s v="Eleni McCrary"/>
    <x v="1"/>
    <s v="United States"/>
    <x v="28"/>
    <x v="2"/>
    <x v="1"/>
    <s v="FUR-CH-10003312"/>
    <s v="Furniture"/>
    <x v="1"/>
    <s v="Hon 2090 ÒPillow SoftÓ Series Mid Back Swivel/Tilt Chairs"/>
    <n v="1348.704"/>
    <n v="6"/>
    <n v="-219.1644"/>
    <x v="7"/>
    <x v="3"/>
  </r>
  <r>
    <x v="447"/>
    <x v="370"/>
    <d v="2015-07-16T00:00:00"/>
    <x v="3"/>
    <s v="EM-13810"/>
    <s v="Eleni McCrary"/>
    <x v="1"/>
    <s v="United States"/>
    <x v="28"/>
    <x v="2"/>
    <x v="1"/>
    <s v="FUR-CH-10004086"/>
    <s v="Furniture"/>
    <x v="1"/>
    <s v="Hon 4070 Series Pagoda Armless Upholstered Stacking Chairs"/>
    <n v="700.15200000000004"/>
    <n v="3"/>
    <n v="78.767099999999999"/>
    <x v="7"/>
    <x v="3"/>
  </r>
  <r>
    <x v="448"/>
    <x v="325"/>
    <d v="2016-05-04T00:00:00"/>
    <x v="1"/>
    <s v="KD-16615"/>
    <s v="Ken Dana"/>
    <x v="1"/>
    <s v="United States"/>
    <x v="163"/>
    <x v="22"/>
    <x v="1"/>
    <s v="FUR-FU-10002759"/>
    <s v="Furniture"/>
    <x v="3"/>
    <s v="12-1/2 Diameter Round Wall Clock"/>
    <n v="111.88800000000001"/>
    <n v="7"/>
    <n v="22.377600000000001"/>
    <x v="4"/>
    <x v="6"/>
  </r>
  <r>
    <x v="449"/>
    <x v="63"/>
    <d v="2016-09-14T00:00:00"/>
    <x v="1"/>
    <s v="AP-10720"/>
    <s v="Anne Pryor"/>
    <x v="2"/>
    <s v="United States"/>
    <x v="164"/>
    <x v="20"/>
    <x v="2"/>
    <s v="FUR-BO-10003450"/>
    <s v="Furniture"/>
    <x v="0"/>
    <s v="Bush Westfield Collection Bookcases, Dark Cherry Finish"/>
    <n v="173.94"/>
    <n v="3"/>
    <n v="13.9152"/>
    <x v="6"/>
    <x v="4"/>
  </r>
  <r>
    <x v="450"/>
    <x v="371"/>
    <d v="2017-04-20T00:00:00"/>
    <x v="1"/>
    <s v="JE-15745"/>
    <s v="Joel Eaton"/>
    <x v="0"/>
    <s v="United States"/>
    <x v="124"/>
    <x v="2"/>
    <x v="1"/>
    <s v="FUR-BO-10001337"/>
    <s v="Furniture"/>
    <x v="0"/>
    <s v="O'Sullivan Living Dimensions 2-Shelf Bookcases"/>
    <n v="102.833"/>
    <n v="1"/>
    <n v="-6.0490000000000004"/>
    <x v="4"/>
    <x v="6"/>
  </r>
  <r>
    <x v="451"/>
    <x v="49"/>
    <d v="2017-11-23T00:00:00"/>
    <x v="1"/>
    <s v="AB-10105"/>
    <s v="Adrian Barton"/>
    <x v="0"/>
    <s v="United States"/>
    <x v="0"/>
    <x v="0"/>
    <x v="0"/>
    <s v="FUR-FU-10004665"/>
    <s v="Furniture"/>
    <x v="3"/>
    <s v="3M Polarizing Task Lamp with Clamp Arm, Light Gray"/>
    <n v="821.88"/>
    <n v="6"/>
    <n v="213.68879999999999"/>
    <x v="4"/>
    <x v="0"/>
  </r>
  <r>
    <x v="452"/>
    <x v="372"/>
    <d v="2016-10-14T00:00:00"/>
    <x v="1"/>
    <s v="BW-11110"/>
    <s v="Bart Watters"/>
    <x v="1"/>
    <s v="United States"/>
    <x v="6"/>
    <x v="5"/>
    <x v="3"/>
    <s v="FUR-FU-10004909"/>
    <s v="Furniture"/>
    <x v="3"/>
    <s v="Contemporary Wood/Metal Frame"/>
    <n v="51.712000000000003"/>
    <n v="8"/>
    <n v="-32.32"/>
    <x v="6"/>
    <x v="1"/>
  </r>
  <r>
    <x v="453"/>
    <x v="151"/>
    <d v="2015-06-04T00:00:00"/>
    <x v="1"/>
    <s v="TM-21010"/>
    <s v="Tamara Manning"/>
    <x v="0"/>
    <s v="United States"/>
    <x v="4"/>
    <x v="4"/>
    <x v="1"/>
    <s v="FUR-BO-10004357"/>
    <s v="Furniture"/>
    <x v="0"/>
    <s v="O'Sullivan Living Dimensions 3-Shelf Bookcases"/>
    <n v="1406.86"/>
    <n v="7"/>
    <n v="140.68600000000001"/>
    <x v="4"/>
    <x v="7"/>
  </r>
  <r>
    <x v="454"/>
    <x v="373"/>
    <d v="2017-11-03T00:00:00"/>
    <x v="0"/>
    <s v="SF-20200"/>
    <s v="Sarah Foster"/>
    <x v="0"/>
    <s v="United States"/>
    <x v="165"/>
    <x v="13"/>
    <x v="1"/>
    <s v="FUR-TA-10003954"/>
    <s v="Furniture"/>
    <x v="2"/>
    <s v="Hon 94000 Series Round Tables"/>
    <n v="2665.62"/>
    <n v="9"/>
    <n v="239.9058"/>
    <x v="3"/>
    <x v="0"/>
  </r>
  <r>
    <x v="455"/>
    <x v="374"/>
    <d v="2017-07-14T00:00:00"/>
    <x v="1"/>
    <s v="SM-20320"/>
    <s v="Sean Miller"/>
    <x v="2"/>
    <s v="United States"/>
    <x v="120"/>
    <x v="6"/>
    <x v="3"/>
    <s v="FUR-FU-10000293"/>
    <s v="Furniture"/>
    <x v="3"/>
    <s v="Eldon Antistatic Chair Mats for Low to Medium Pile Carpets"/>
    <n v="526.45000000000005"/>
    <n v="5"/>
    <n v="31.587"/>
    <x v="2"/>
    <x v="3"/>
  </r>
  <r>
    <x v="456"/>
    <x v="375"/>
    <d v="2014-01-31T00:00:00"/>
    <x v="1"/>
    <s v="SD-20485"/>
    <s v="Shirley Daniels"/>
    <x v="2"/>
    <s v="United States"/>
    <x v="166"/>
    <x v="25"/>
    <x v="0"/>
    <s v="FUR-FU-10004587"/>
    <s v="Furniture"/>
    <x v="3"/>
    <s v="GE General Use Halogen Bulbs, 100 Watts, 1 Bulb per Pack"/>
    <n v="62.82"/>
    <n v="3"/>
    <n v="30.7818"/>
    <x v="2"/>
    <x v="8"/>
  </r>
  <r>
    <x v="456"/>
    <x v="375"/>
    <d v="2014-01-31T00:00:00"/>
    <x v="1"/>
    <s v="SD-20485"/>
    <s v="Shirley Daniels"/>
    <x v="2"/>
    <s v="United States"/>
    <x v="166"/>
    <x v="25"/>
    <x v="0"/>
    <s v="FUR-FU-10001847"/>
    <s v="Furniture"/>
    <x v="3"/>
    <s v="Eldon Image Series Black Desk Accessories"/>
    <n v="12.42"/>
    <n v="3"/>
    <n v="4.4711999999999996"/>
    <x v="2"/>
    <x v="8"/>
  </r>
  <r>
    <x v="457"/>
    <x v="254"/>
    <d v="2017-07-06T00:00:00"/>
    <x v="1"/>
    <s v="RA-19285"/>
    <s v="Ralph Arnett"/>
    <x v="0"/>
    <s v="United States"/>
    <x v="13"/>
    <x v="7"/>
    <x v="2"/>
    <s v="FUR-FU-10002045"/>
    <s v="Furniture"/>
    <x v="3"/>
    <s v="Executive Impressions 14&quot;"/>
    <n v="22.23"/>
    <n v="1"/>
    <n v="9.7812000000000001"/>
    <x v="6"/>
    <x v="2"/>
  </r>
  <r>
    <x v="458"/>
    <x v="63"/>
    <d v="2016-09-14T00:00:00"/>
    <x v="1"/>
    <s v="SE-20110"/>
    <s v="Sanjit Engle"/>
    <x v="0"/>
    <s v="United States"/>
    <x v="167"/>
    <x v="8"/>
    <x v="3"/>
    <s v="FUR-FU-10004671"/>
    <s v="Furniture"/>
    <x v="3"/>
    <s v="Executive Impressions 12&quot; Wall Clock"/>
    <n v="14.135999999999999"/>
    <n v="2"/>
    <n v="-7.7747999999999999"/>
    <x v="6"/>
    <x v="4"/>
  </r>
  <r>
    <x v="458"/>
    <x v="63"/>
    <d v="2016-09-14T00:00:00"/>
    <x v="1"/>
    <s v="SE-20110"/>
    <s v="Sanjit Engle"/>
    <x v="0"/>
    <s v="United States"/>
    <x v="167"/>
    <x v="8"/>
    <x v="3"/>
    <s v="FUR-TA-10003569"/>
    <s v="Furniture"/>
    <x v="2"/>
    <s v="Bretford CR8500 Series Meeting Room Furniture"/>
    <n v="601.47"/>
    <n v="3"/>
    <n v="-300.73500000000001"/>
    <x v="6"/>
    <x v="4"/>
  </r>
  <r>
    <x v="459"/>
    <x v="41"/>
    <d v="2016-06-04T00:00:00"/>
    <x v="3"/>
    <s v="EN-13780"/>
    <s v="Edward Nazzal"/>
    <x v="0"/>
    <s v="United States"/>
    <x v="13"/>
    <x v="7"/>
    <x v="2"/>
    <s v="FUR-BO-10000362"/>
    <s v="Furniture"/>
    <x v="0"/>
    <s v="Sauder Inglewood Library Bookcases"/>
    <n v="136.78399999999999"/>
    <n v="1"/>
    <n v="5.1294000000000004"/>
    <x v="7"/>
    <x v="2"/>
  </r>
  <r>
    <x v="459"/>
    <x v="41"/>
    <d v="2016-06-04T00:00:00"/>
    <x v="3"/>
    <s v="EN-13780"/>
    <s v="Edward Nazzal"/>
    <x v="0"/>
    <s v="United States"/>
    <x v="13"/>
    <x v="7"/>
    <x v="2"/>
    <s v="FUR-FU-10003878"/>
    <s v="Furniture"/>
    <x v="3"/>
    <s v="Linden 10&quot; Round Wall Clock, Black"/>
    <n v="61.12"/>
    <n v="4"/>
    <n v="20.780799999999999"/>
    <x v="7"/>
    <x v="2"/>
  </r>
  <r>
    <x v="460"/>
    <x v="306"/>
    <d v="2014-11-30T00:00:00"/>
    <x v="1"/>
    <s v="MC-17590"/>
    <s v="Matt Collister"/>
    <x v="1"/>
    <s v="United States"/>
    <x v="58"/>
    <x v="5"/>
    <x v="3"/>
    <s v="FUR-TA-10000577"/>
    <s v="Furniture"/>
    <x v="2"/>
    <s v="Bretford CR4500 Series Slim Rectangular Table"/>
    <n v="1218.7349999999999"/>
    <n v="5"/>
    <n v="-121.87350000000001"/>
    <x v="2"/>
    <x v="0"/>
  </r>
  <r>
    <x v="460"/>
    <x v="306"/>
    <d v="2014-11-30T00:00:00"/>
    <x v="1"/>
    <s v="MC-17590"/>
    <s v="Matt Collister"/>
    <x v="1"/>
    <s v="United States"/>
    <x v="58"/>
    <x v="5"/>
    <x v="3"/>
    <s v="FUR-FU-10000221"/>
    <s v="Furniture"/>
    <x v="3"/>
    <s v="Master Caster Door Stop, Brown"/>
    <n v="6.0960000000000001"/>
    <n v="3"/>
    <n v="-3.9624000000000001"/>
    <x v="2"/>
    <x v="0"/>
  </r>
  <r>
    <x v="461"/>
    <x v="376"/>
    <d v="2016-05-05T00:00:00"/>
    <x v="1"/>
    <s v="BO-11350"/>
    <s v="Bill Overfelt"/>
    <x v="1"/>
    <s v="United States"/>
    <x v="2"/>
    <x v="2"/>
    <x v="1"/>
    <s v="FUR-CH-10002304"/>
    <s v="Furniture"/>
    <x v="1"/>
    <s v="Global Stack Chair without Arms, Black"/>
    <n v="41.567999999999998"/>
    <n v="2"/>
    <n v="2.5979999999999999"/>
    <x v="1"/>
    <x v="6"/>
  </r>
  <r>
    <x v="462"/>
    <x v="377"/>
    <d v="2014-05-03T00:00:00"/>
    <x v="1"/>
    <s v="AG-10300"/>
    <s v="Aleksandra Gannaway"/>
    <x v="1"/>
    <s v="United States"/>
    <x v="2"/>
    <x v="2"/>
    <x v="1"/>
    <s v="FUR-CH-10004886"/>
    <s v="Furniture"/>
    <x v="1"/>
    <s v="Bevis Steel Folding Chairs"/>
    <n v="230.28"/>
    <n v="3"/>
    <n v="23.027999999999999"/>
    <x v="1"/>
    <x v="6"/>
  </r>
  <r>
    <x v="463"/>
    <x v="378"/>
    <d v="2017-05-20T00:00:00"/>
    <x v="1"/>
    <s v="JF-15295"/>
    <s v="Jason Fortune-"/>
    <x v="0"/>
    <s v="United States"/>
    <x v="15"/>
    <x v="13"/>
    <x v="1"/>
    <s v="FUR-FU-10000076"/>
    <s v="Furniture"/>
    <x v="3"/>
    <s v="24-Hour Round Wall Clock"/>
    <n v="39.96"/>
    <n v="2"/>
    <n v="17.1828"/>
    <x v="2"/>
    <x v="7"/>
  </r>
  <r>
    <x v="463"/>
    <x v="378"/>
    <d v="2017-05-20T00:00:00"/>
    <x v="1"/>
    <s v="JF-15295"/>
    <s v="Jason Fortune-"/>
    <x v="0"/>
    <s v="United States"/>
    <x v="15"/>
    <x v="13"/>
    <x v="1"/>
    <s v="FUR-CH-10002017"/>
    <s v="Furniture"/>
    <x v="1"/>
    <s v="SAFCO Optional Arm Kit for Workspace Cribbage Stacking Chair"/>
    <n v="42.624000000000002"/>
    <n v="2"/>
    <n v="4.2624000000000004"/>
    <x v="2"/>
    <x v="7"/>
  </r>
  <r>
    <x v="463"/>
    <x v="378"/>
    <d v="2017-05-20T00:00:00"/>
    <x v="1"/>
    <s v="JF-15295"/>
    <s v="Jason Fortune-"/>
    <x v="0"/>
    <s v="United States"/>
    <x v="15"/>
    <x v="13"/>
    <x v="1"/>
    <s v="FUR-CH-10004287"/>
    <s v="Furniture"/>
    <x v="1"/>
    <s v="SAFCO Arco Folding Chair"/>
    <n v="220.96"/>
    <n v="1"/>
    <n v="24.858000000000001"/>
    <x v="2"/>
    <x v="7"/>
  </r>
  <r>
    <x v="464"/>
    <x v="379"/>
    <d v="2015-07-10T00:00:00"/>
    <x v="0"/>
    <s v="BF-10975"/>
    <s v="Barbara Fisher"/>
    <x v="1"/>
    <s v="United States"/>
    <x v="160"/>
    <x v="30"/>
    <x v="0"/>
    <s v="FUR-FU-10003829"/>
    <s v="Furniture"/>
    <x v="3"/>
    <s v="Stackable Trays"/>
    <n v="4.9279999999999999"/>
    <n v="2"/>
    <n v="0.73919999999999997"/>
    <x v="2"/>
    <x v="3"/>
  </r>
  <r>
    <x v="465"/>
    <x v="235"/>
    <d v="2017-06-18T00:00:00"/>
    <x v="1"/>
    <s v="SB-20170"/>
    <s v="Sarah Bern"/>
    <x v="0"/>
    <s v="United States"/>
    <x v="13"/>
    <x v="7"/>
    <x v="2"/>
    <s v="FUR-CH-10000595"/>
    <s v="Furniture"/>
    <x v="1"/>
    <s v="Safco Contoured Stacking Chairs"/>
    <n v="858.24"/>
    <n v="4"/>
    <n v="143.04"/>
    <x v="6"/>
    <x v="2"/>
  </r>
  <r>
    <x v="466"/>
    <x v="380"/>
    <d v="2016-04-21T00:00:00"/>
    <x v="0"/>
    <s v="BF-11170"/>
    <s v="Ben Ferrer"/>
    <x v="2"/>
    <s v="United States"/>
    <x v="168"/>
    <x v="30"/>
    <x v="0"/>
    <s v="FUR-FU-10000206"/>
    <s v="Furniture"/>
    <x v="3"/>
    <s v="GE General Purpose, Extra Long Life, Showcase &amp; Floodlight Incandescent Bulbs"/>
    <n v="18.623999999999999"/>
    <n v="8"/>
    <n v="6.2855999999999996"/>
    <x v="4"/>
    <x v="6"/>
  </r>
  <r>
    <x v="467"/>
    <x v="266"/>
    <d v="2014-09-12T00:00:00"/>
    <x v="0"/>
    <s v="TB-21400"/>
    <s v="Tom Boeckenhauer"/>
    <x v="0"/>
    <s v="United States"/>
    <x v="169"/>
    <x v="37"/>
    <x v="3"/>
    <s v="FUR-FU-10004270"/>
    <s v="Furniture"/>
    <x v="3"/>
    <s v="Executive Impressions 13&quot; Clairmont Wall Clock"/>
    <n v="57.69"/>
    <n v="3"/>
    <n v="23.652899999999999"/>
    <x v="2"/>
    <x v="4"/>
  </r>
  <r>
    <x v="467"/>
    <x v="266"/>
    <d v="2014-09-12T00:00:00"/>
    <x v="0"/>
    <s v="TB-21400"/>
    <s v="Tom Boeckenhauer"/>
    <x v="0"/>
    <s v="United States"/>
    <x v="169"/>
    <x v="37"/>
    <x v="3"/>
    <s v="FUR-FU-10004665"/>
    <s v="Furniture"/>
    <x v="3"/>
    <s v="3M Polarizing Task Lamp with Clamp Arm, Light Gray"/>
    <n v="821.88"/>
    <n v="6"/>
    <n v="213.68879999999999"/>
    <x v="2"/>
    <x v="4"/>
  </r>
  <r>
    <x v="468"/>
    <x v="73"/>
    <d v="2016-10-01T00:00:00"/>
    <x v="1"/>
    <s v="SH-19975"/>
    <s v="Sally Hughsby"/>
    <x v="1"/>
    <s v="United States"/>
    <x v="170"/>
    <x v="2"/>
    <x v="1"/>
    <s v="FUR-BO-10004467"/>
    <s v="Furniture"/>
    <x v="0"/>
    <s v="Bestar Classic Bookcase"/>
    <n v="424.95749999999998"/>
    <n v="5"/>
    <n v="19.998000000000001"/>
    <x v="2"/>
    <x v="4"/>
  </r>
  <r>
    <x v="469"/>
    <x v="342"/>
    <d v="2017-09-21T00:00:00"/>
    <x v="0"/>
    <s v="AS-10225"/>
    <s v="Alan Schoenberger"/>
    <x v="1"/>
    <s v="United States"/>
    <x v="106"/>
    <x v="4"/>
    <x v="1"/>
    <s v="FUR-BO-10003404"/>
    <s v="Furniture"/>
    <x v="0"/>
    <s v="Global Adaptabilites Bookcase, Cherry/Storm Gray Finish"/>
    <n v="1292.94"/>
    <n v="3"/>
    <n v="77.576400000000007"/>
    <x v="4"/>
    <x v="4"/>
  </r>
  <r>
    <x v="470"/>
    <x v="37"/>
    <d v="2015-12-28T00:00:00"/>
    <x v="1"/>
    <s v="HR-14830"/>
    <s v="Harold Ryan"/>
    <x v="1"/>
    <s v="United States"/>
    <x v="171"/>
    <x v="22"/>
    <x v="1"/>
    <s v="FUR-CH-10004287"/>
    <s v="Furniture"/>
    <x v="1"/>
    <s v="SAFCO Arco Folding Chair"/>
    <n v="883.84"/>
    <n v="4"/>
    <n v="99.432000000000002"/>
    <x v="4"/>
    <x v="5"/>
  </r>
  <r>
    <x v="471"/>
    <x v="381"/>
    <d v="2016-05-04T00:00:00"/>
    <x v="2"/>
    <s v="HF-14995"/>
    <s v="Herbert Flentye"/>
    <x v="0"/>
    <s v="United States"/>
    <x v="10"/>
    <x v="9"/>
    <x v="0"/>
    <s v="FUR-TA-10004534"/>
    <s v="Furniture"/>
    <x v="2"/>
    <s v="Bevis 44 x 96 Conference Tables"/>
    <n v="370.62"/>
    <n v="3"/>
    <n v="-142.071"/>
    <x v="0"/>
    <x v="7"/>
  </r>
  <r>
    <x v="472"/>
    <x v="382"/>
    <d v="2015-08-30T00:00:00"/>
    <x v="1"/>
    <s v="NL-18310"/>
    <s v="Nancy Lomonaco"/>
    <x v="2"/>
    <s v="United States"/>
    <x v="2"/>
    <x v="2"/>
    <x v="1"/>
    <s v="FUR-CH-10002774"/>
    <s v="Furniture"/>
    <x v="1"/>
    <s v="Global Deluxe Stacking Chair, Gray"/>
    <n v="40.783999999999999"/>
    <n v="1"/>
    <n v="4.5881999999999996"/>
    <x v="2"/>
    <x v="10"/>
  </r>
  <r>
    <x v="473"/>
    <x v="383"/>
    <d v="2014-09-12T00:00:00"/>
    <x v="0"/>
    <s v="RR-19525"/>
    <s v="Rick Reed"/>
    <x v="1"/>
    <s v="United States"/>
    <x v="172"/>
    <x v="20"/>
    <x v="2"/>
    <s v="FUR-CH-10003761"/>
    <s v="Furniture"/>
    <x v="1"/>
    <s v="Global Italian Leather Office Chair"/>
    <n v="785.88"/>
    <n v="6"/>
    <n v="212.1876"/>
    <x v="0"/>
    <x v="4"/>
  </r>
  <r>
    <x v="474"/>
    <x v="360"/>
    <d v="2016-01-28T00:00:00"/>
    <x v="1"/>
    <s v="AJ-10795"/>
    <s v="Anthony Johnson"/>
    <x v="1"/>
    <s v="United States"/>
    <x v="15"/>
    <x v="13"/>
    <x v="1"/>
    <s v="FUR-FU-10001475"/>
    <s v="Furniture"/>
    <x v="3"/>
    <s v="Contract Clock, 14&quot;, Brown"/>
    <n v="109.9"/>
    <n v="5"/>
    <n v="37.366"/>
    <x v="6"/>
    <x v="8"/>
  </r>
  <r>
    <x v="475"/>
    <x v="384"/>
    <d v="2014-10-20T00:00:00"/>
    <x v="1"/>
    <s v="DL-12865"/>
    <s v="Dan Lawera"/>
    <x v="0"/>
    <s v="United States"/>
    <x v="173"/>
    <x v="1"/>
    <x v="0"/>
    <s v="FUR-FU-10004270"/>
    <s v="Furniture"/>
    <x v="3"/>
    <s v="Executive Impressions 13&quot; Clairmont Wall Clock"/>
    <n v="15.384"/>
    <n v="1"/>
    <n v="4.0382999999999996"/>
    <x v="2"/>
    <x v="1"/>
  </r>
  <r>
    <x v="476"/>
    <x v="385"/>
    <d v="2014-03-23T00:00:00"/>
    <x v="1"/>
    <s v="SM-20320"/>
    <s v="Sean Miller"/>
    <x v="2"/>
    <s v="United States"/>
    <x v="51"/>
    <x v="1"/>
    <x v="0"/>
    <s v="FUR-FU-10004270"/>
    <s v="Furniture"/>
    <x v="3"/>
    <s v="Executive Impressions 13&quot; Clairmont Wall Clock"/>
    <n v="30.768000000000001"/>
    <n v="2"/>
    <n v="8.0765999999999991"/>
    <x v="2"/>
    <x v="9"/>
  </r>
  <r>
    <x v="476"/>
    <x v="385"/>
    <d v="2014-03-23T00:00:00"/>
    <x v="1"/>
    <s v="SM-20320"/>
    <s v="Sean Miller"/>
    <x v="2"/>
    <s v="United States"/>
    <x v="51"/>
    <x v="1"/>
    <x v="0"/>
    <s v="FUR-FU-10001986"/>
    <s v="Furniture"/>
    <x v="3"/>
    <s v="Dana Fluorescent Magnifying Lamp, White, 36&quot;"/>
    <n v="122.352"/>
    <n v="3"/>
    <n v="15.294"/>
    <x v="2"/>
    <x v="9"/>
  </r>
  <r>
    <x v="477"/>
    <x v="386"/>
    <d v="2015-02-06T00:00:00"/>
    <x v="1"/>
    <s v="CC-12145"/>
    <s v="Charles Crestani"/>
    <x v="0"/>
    <s v="United States"/>
    <x v="2"/>
    <x v="2"/>
    <x v="1"/>
    <s v="FUR-FU-10001876"/>
    <s v="Furniture"/>
    <x v="3"/>
    <s v="Computer Room Manger, 14&quot;"/>
    <n v="227.36"/>
    <n v="7"/>
    <n v="81.849599999999995"/>
    <x v="1"/>
    <x v="8"/>
  </r>
  <r>
    <x v="478"/>
    <x v="224"/>
    <d v="2017-10-11T00:00:00"/>
    <x v="2"/>
    <s v="CP-12085"/>
    <s v="Cathy Prescott"/>
    <x v="1"/>
    <s v="United States"/>
    <x v="174"/>
    <x v="15"/>
    <x v="2"/>
    <s v="FUR-FU-10003577"/>
    <s v="Furniture"/>
    <x v="3"/>
    <s v="Nu-Dell Leatherette Frames"/>
    <n v="45.887999999999998"/>
    <n v="4"/>
    <n v="9.1776"/>
    <x v="3"/>
    <x v="1"/>
  </r>
  <r>
    <x v="479"/>
    <x v="387"/>
    <d v="2014-12-08T00:00:00"/>
    <x v="0"/>
    <s v="LF-17185"/>
    <s v="Luke Foster"/>
    <x v="0"/>
    <s v="United States"/>
    <x v="6"/>
    <x v="5"/>
    <x v="3"/>
    <s v="FUR-FU-10002759"/>
    <s v="Furniture"/>
    <x v="3"/>
    <s v="12-1/2 Diameter Round Wall Clock"/>
    <n v="23.975999999999999"/>
    <n v="3"/>
    <n v="-14.3856"/>
    <x v="3"/>
    <x v="5"/>
  </r>
  <r>
    <x v="480"/>
    <x v="388"/>
    <d v="2017-11-13T00:00:00"/>
    <x v="1"/>
    <s v="EP-13915"/>
    <s v="Emily Phan"/>
    <x v="0"/>
    <s v="United States"/>
    <x v="3"/>
    <x v="3"/>
    <x v="2"/>
    <s v="FUR-TA-10000849"/>
    <s v="Furniture"/>
    <x v="2"/>
    <s v="Bevis Rectangular Conference Tables"/>
    <n v="350.35199999999998"/>
    <n v="4"/>
    <n v="-140.14080000000001"/>
    <x v="6"/>
    <x v="0"/>
  </r>
  <r>
    <x v="481"/>
    <x v="389"/>
    <d v="2017-02-19T00:00:00"/>
    <x v="1"/>
    <s v="FH-14350"/>
    <s v="Fred Harton"/>
    <x v="0"/>
    <s v="United States"/>
    <x v="15"/>
    <x v="13"/>
    <x v="1"/>
    <s v="FUR-FU-10004017"/>
    <s v="Furniture"/>
    <x v="3"/>
    <s v="Tenex Contemporary Contur Chairmats for Low and Medium Pile Carpet, Computer, 39&quot; x 49&quot;"/>
    <n v="107.53"/>
    <n v="1"/>
    <n v="21.506"/>
    <x v="6"/>
    <x v="11"/>
  </r>
  <r>
    <x v="482"/>
    <x v="18"/>
    <d v="2015-11-19T00:00:00"/>
    <x v="1"/>
    <s v="KL-16645"/>
    <s v="Ken Lonsdale"/>
    <x v="0"/>
    <s v="United States"/>
    <x v="19"/>
    <x v="14"/>
    <x v="2"/>
    <s v="FUR-BO-10004467"/>
    <s v="Furniture"/>
    <x v="0"/>
    <s v="Bestar Classic Bookcase"/>
    <n v="299.97000000000003"/>
    <n v="3"/>
    <n v="56.994300000000003"/>
    <x v="6"/>
    <x v="0"/>
  </r>
  <r>
    <x v="483"/>
    <x v="53"/>
    <d v="2014-11-08T00:00:00"/>
    <x v="1"/>
    <s v="MS-17530"/>
    <s v="MaryBeth Skach"/>
    <x v="0"/>
    <s v="United States"/>
    <x v="53"/>
    <x v="2"/>
    <x v="1"/>
    <s v="FUR-FU-10004671"/>
    <s v="Furniture"/>
    <x v="3"/>
    <s v="Executive Impressions 12&quot; Wall Clock"/>
    <n v="35.340000000000003"/>
    <n v="2"/>
    <n v="13.4292"/>
    <x v="4"/>
    <x v="0"/>
  </r>
  <r>
    <x v="484"/>
    <x v="390"/>
    <d v="2015-06-25T00:00:00"/>
    <x v="0"/>
    <s v="SC-20770"/>
    <s v="Stewart Carmichael"/>
    <x v="1"/>
    <s v="United States"/>
    <x v="28"/>
    <x v="2"/>
    <x v="1"/>
    <s v="FUR-FU-10002253"/>
    <s v="Furniture"/>
    <x v="3"/>
    <s v="Howard Miller 13&quot; Diameter Pewter Finish Round Wall Clock"/>
    <n v="257.64"/>
    <n v="6"/>
    <n v="100.4796"/>
    <x v="2"/>
    <x v="2"/>
  </r>
  <r>
    <x v="485"/>
    <x v="264"/>
    <d v="2014-05-17T00:00:00"/>
    <x v="1"/>
    <s v="KT-16480"/>
    <s v="Kean Thornton"/>
    <x v="0"/>
    <s v="United States"/>
    <x v="20"/>
    <x v="20"/>
    <x v="2"/>
    <s v="FUR-TA-10002228"/>
    <s v="Furniture"/>
    <x v="2"/>
    <s v="Bevis Traditional Conference Table Top, Plinth Base"/>
    <n v="700.05600000000004"/>
    <n v="3"/>
    <n v="-130.0104"/>
    <x v="2"/>
    <x v="7"/>
  </r>
  <r>
    <x v="486"/>
    <x v="391"/>
    <d v="2014-06-14T00:00:00"/>
    <x v="1"/>
    <s v="CS-11950"/>
    <s v="Carlos Soltero"/>
    <x v="0"/>
    <s v="United States"/>
    <x v="15"/>
    <x v="13"/>
    <x v="1"/>
    <s v="FUR-CH-10002758"/>
    <s v="Furniture"/>
    <x v="1"/>
    <s v="Hon Deluxe Fabric Upholstered Stacking Chairs, Squared Back"/>
    <n v="585.55200000000002"/>
    <n v="3"/>
    <n v="73.194000000000003"/>
    <x v="6"/>
    <x v="2"/>
  </r>
  <r>
    <x v="487"/>
    <x v="261"/>
    <d v="2014-05-30T00:00:00"/>
    <x v="1"/>
    <s v="HF-14995"/>
    <s v="Herbert Flentye"/>
    <x v="0"/>
    <s v="United States"/>
    <x v="2"/>
    <x v="2"/>
    <x v="1"/>
    <s v="FUR-CH-10000988"/>
    <s v="Furniture"/>
    <x v="1"/>
    <s v="Hon Olson Stacker Stools"/>
    <n v="225.29599999999999"/>
    <n v="2"/>
    <n v="22.529599999999999"/>
    <x v="4"/>
    <x v="7"/>
  </r>
  <r>
    <x v="488"/>
    <x v="237"/>
    <d v="2016-03-15T00:00:00"/>
    <x v="1"/>
    <s v="JP-16135"/>
    <s v="Julie Prescott"/>
    <x v="2"/>
    <s v="United States"/>
    <x v="29"/>
    <x v="24"/>
    <x v="0"/>
    <s v="FUR-FU-10004270"/>
    <s v="Furniture"/>
    <x v="3"/>
    <s v="Executive Impressions 13&quot; Clairmont Wall Clock"/>
    <n v="76.92"/>
    <n v="4"/>
    <n v="31.537199999999999"/>
    <x v="4"/>
    <x v="9"/>
  </r>
  <r>
    <x v="489"/>
    <x v="247"/>
    <d v="2017-12-12T00:00:00"/>
    <x v="2"/>
    <s v="BT-11680"/>
    <s v="Brian Thompson"/>
    <x v="0"/>
    <s v="United States"/>
    <x v="1"/>
    <x v="1"/>
    <x v="0"/>
    <s v="FUR-FU-10001940"/>
    <s v="Furniture"/>
    <x v="3"/>
    <s v="Staple-based wall hangings"/>
    <n v="19.103999999999999"/>
    <n v="3"/>
    <n v="5.7312000000000003"/>
    <x v="3"/>
    <x v="5"/>
  </r>
  <r>
    <x v="490"/>
    <x v="392"/>
    <d v="2015-07-19T00:00:00"/>
    <x v="0"/>
    <s v="JM-15535"/>
    <s v="Jessica Myrick"/>
    <x v="0"/>
    <s v="United States"/>
    <x v="175"/>
    <x v="2"/>
    <x v="1"/>
    <s v="FUR-BO-10003159"/>
    <s v="Furniture"/>
    <x v="0"/>
    <s v="Sauder Camden County Collection Libraries, Planked Cherry Finish"/>
    <n v="195.46600000000001"/>
    <n v="2"/>
    <n v="-13.797599999999999"/>
    <x v="3"/>
    <x v="3"/>
  </r>
  <r>
    <x v="491"/>
    <x v="393"/>
    <d v="2017-05-05T00:00:00"/>
    <x v="1"/>
    <s v="SS-20140"/>
    <s v="Saphhira Shifley"/>
    <x v="1"/>
    <s v="United States"/>
    <x v="176"/>
    <x v="1"/>
    <x v="0"/>
    <s v="FUR-FU-10001935"/>
    <s v="Furniture"/>
    <x v="3"/>
    <s v="3M Hangers With Command Adhesive"/>
    <n v="23.68"/>
    <n v="8"/>
    <n v="6.2160000000000002"/>
    <x v="2"/>
    <x v="6"/>
  </r>
  <r>
    <x v="492"/>
    <x v="231"/>
    <d v="2015-09-23T00:00:00"/>
    <x v="2"/>
    <s v="CD-12790"/>
    <s v="Cynthia Delaney"/>
    <x v="2"/>
    <s v="United States"/>
    <x v="2"/>
    <x v="2"/>
    <x v="1"/>
    <s v="FUR-CH-10004997"/>
    <s v="Furniture"/>
    <x v="1"/>
    <s v="Hon Every-Day Series Multi-Task Chairs"/>
    <n v="601.53599999999994"/>
    <n v="4"/>
    <n v="0"/>
    <x v="3"/>
    <x v="4"/>
  </r>
  <r>
    <x v="493"/>
    <x v="116"/>
    <d v="2014-12-06T00:00:00"/>
    <x v="1"/>
    <s v="MD-17860"/>
    <s v="Michael Dominguez"/>
    <x v="1"/>
    <s v="United States"/>
    <x v="177"/>
    <x v="5"/>
    <x v="3"/>
    <s v="FUR-FU-10001588"/>
    <s v="Furniture"/>
    <x v="3"/>
    <s v="Deflect-o SuperTray Unbreakable Stackable Tray, Letter, Black"/>
    <n v="58.36"/>
    <n v="5"/>
    <n v="-24.803000000000001"/>
    <x v="4"/>
    <x v="5"/>
  </r>
  <r>
    <x v="493"/>
    <x v="116"/>
    <d v="2014-12-06T00:00:00"/>
    <x v="1"/>
    <s v="MD-17860"/>
    <s v="Michael Dominguez"/>
    <x v="1"/>
    <s v="United States"/>
    <x v="177"/>
    <x v="5"/>
    <x v="3"/>
    <s v="FUR-FU-10002759"/>
    <s v="Furniture"/>
    <x v="3"/>
    <s v="12-1/2 Diameter Round Wall Clock"/>
    <n v="39.96"/>
    <n v="5"/>
    <n v="-23.975999999999999"/>
    <x v="4"/>
    <x v="5"/>
  </r>
  <r>
    <x v="494"/>
    <x v="394"/>
    <d v="2014-04-17T00:00:00"/>
    <x v="1"/>
    <s v="KN-16450"/>
    <s v="Kean Nguyen"/>
    <x v="1"/>
    <s v="United States"/>
    <x v="178"/>
    <x v="2"/>
    <x v="1"/>
    <s v="FUR-BO-10001337"/>
    <s v="Furniture"/>
    <x v="0"/>
    <s v="O'Sullivan Living Dimensions 2-Shelf Bookcases"/>
    <n v="308.49900000000002"/>
    <n v="3"/>
    <n v="-18.146999999999998"/>
    <x v="2"/>
    <x v="6"/>
  </r>
  <r>
    <x v="495"/>
    <x v="54"/>
    <d v="2017-11-08T00:00:00"/>
    <x v="1"/>
    <s v="DL-13330"/>
    <s v="Denise Leinenbach"/>
    <x v="0"/>
    <s v="United States"/>
    <x v="179"/>
    <x v="41"/>
    <x v="1"/>
    <s v="FUR-FU-10000629"/>
    <s v="Furniture"/>
    <x v="3"/>
    <s v="9-3/4 Diameter Round Wall Clock"/>
    <n v="41.37"/>
    <n v="3"/>
    <n v="17.375399999999999"/>
    <x v="2"/>
    <x v="0"/>
  </r>
  <r>
    <x v="496"/>
    <x v="395"/>
    <d v="2015-09-11T00:00:00"/>
    <x v="1"/>
    <s v="CC-12145"/>
    <s v="Charles Crestani"/>
    <x v="0"/>
    <s v="United States"/>
    <x v="116"/>
    <x v="5"/>
    <x v="3"/>
    <s v="FUR-CH-10000553"/>
    <s v="Furniture"/>
    <x v="1"/>
    <s v="Metal Folding Chairs, Beige, 4/Carton"/>
    <n v="47.515999999999998"/>
    <n v="2"/>
    <n v="-2.0364"/>
    <x v="4"/>
    <x v="4"/>
  </r>
  <r>
    <x v="497"/>
    <x v="396"/>
    <d v="2015-07-27T00:00:00"/>
    <x v="0"/>
    <s v="MH-18025"/>
    <s v="Michelle Huthwaite"/>
    <x v="0"/>
    <s v="United States"/>
    <x v="15"/>
    <x v="13"/>
    <x v="1"/>
    <s v="FUR-BO-10002213"/>
    <s v="Furniture"/>
    <x v="0"/>
    <s v="Sauder Forest Hills Library, Woodland Oak Finish"/>
    <n v="704.9"/>
    <n v="5"/>
    <n v="56.392000000000003"/>
    <x v="3"/>
    <x v="3"/>
  </r>
  <r>
    <x v="497"/>
    <x v="396"/>
    <d v="2015-07-27T00:00:00"/>
    <x v="0"/>
    <s v="MH-18025"/>
    <s v="Michelle Huthwaite"/>
    <x v="0"/>
    <s v="United States"/>
    <x v="15"/>
    <x v="13"/>
    <x v="1"/>
    <s v="FUR-CH-10001854"/>
    <s v="Furniture"/>
    <x v="1"/>
    <s v="Office Star - Professional Matrix Back Chair with 2-to-1 Synchro Tilt and Mesh Fabric Seat"/>
    <n v="561.56799999999998"/>
    <n v="2"/>
    <n v="28.078399999999998"/>
    <x v="3"/>
    <x v="3"/>
  </r>
  <r>
    <x v="498"/>
    <x v="397"/>
    <d v="2015-11-18T00:00:00"/>
    <x v="0"/>
    <s v="MP-18175"/>
    <s v="Mike Pelletier"/>
    <x v="2"/>
    <s v="United States"/>
    <x v="79"/>
    <x v="16"/>
    <x v="3"/>
    <s v="FUR-FU-10001185"/>
    <s v="Furniture"/>
    <x v="3"/>
    <s v="Advantus Employee of the Month Certificate Frame, 11 x 13-1/2"/>
    <n v="185.58"/>
    <n v="6"/>
    <n v="76.087800000000001"/>
    <x v="3"/>
    <x v="0"/>
  </r>
  <r>
    <x v="498"/>
    <x v="397"/>
    <d v="2015-11-18T00:00:00"/>
    <x v="0"/>
    <s v="MP-18175"/>
    <s v="Mike Pelletier"/>
    <x v="2"/>
    <s v="United States"/>
    <x v="79"/>
    <x v="16"/>
    <x v="3"/>
    <s v="FUR-TA-10001520"/>
    <s v="Furniture"/>
    <x v="2"/>
    <s v="Lesro Sheffield Collection Coffee Table, End Table, Center Table, Corner Table"/>
    <n v="214.11"/>
    <n v="3"/>
    <n v="36.398699999999998"/>
    <x v="3"/>
    <x v="0"/>
  </r>
  <r>
    <x v="498"/>
    <x v="397"/>
    <d v="2015-11-18T00:00:00"/>
    <x v="0"/>
    <s v="MP-18175"/>
    <s v="Mike Pelletier"/>
    <x v="2"/>
    <s v="United States"/>
    <x v="79"/>
    <x v="16"/>
    <x v="3"/>
    <s v="FUR-TA-10000688"/>
    <s v="Furniture"/>
    <x v="2"/>
    <s v="Chromcraft Bull-Nose Wood Round Conference Table Top, Wood Base"/>
    <n v="653.54999999999995"/>
    <n v="3"/>
    <n v="111.1035"/>
    <x v="3"/>
    <x v="0"/>
  </r>
  <r>
    <x v="499"/>
    <x v="398"/>
    <d v="2015-09-08T00:00:00"/>
    <x v="1"/>
    <s v="DR-12940"/>
    <s v="Daniel Raglin"/>
    <x v="2"/>
    <s v="United States"/>
    <x v="20"/>
    <x v="20"/>
    <x v="2"/>
    <s v="FUR-CH-10003817"/>
    <s v="Furniture"/>
    <x v="1"/>
    <s v="Global Value Steno Chair, Gray"/>
    <n v="60.74"/>
    <n v="1"/>
    <n v="15.185"/>
    <x v="1"/>
    <x v="4"/>
  </r>
  <r>
    <x v="499"/>
    <x v="398"/>
    <d v="2015-09-08T00:00:00"/>
    <x v="1"/>
    <s v="DR-12940"/>
    <s v="Daniel Raglin"/>
    <x v="2"/>
    <s v="United States"/>
    <x v="20"/>
    <x v="20"/>
    <x v="2"/>
    <s v="FUR-FU-10000308"/>
    <s v="Furniture"/>
    <x v="3"/>
    <s v="Deflect-o Glass Clear Studded Chair Mats"/>
    <n v="124.36"/>
    <n v="2"/>
    <n v="27.359200000000001"/>
    <x v="1"/>
    <x v="4"/>
  </r>
  <r>
    <x v="500"/>
    <x v="399"/>
    <d v="2016-05-08T00:00:00"/>
    <x v="2"/>
    <s v="DM-13015"/>
    <s v="Darrin Martin"/>
    <x v="0"/>
    <s v="United States"/>
    <x v="92"/>
    <x v="2"/>
    <x v="1"/>
    <s v="FUR-TA-10003748"/>
    <s v="Furniture"/>
    <x v="2"/>
    <s v="Bevis 36 x 72 Conference Tables"/>
    <n v="298.77600000000001"/>
    <n v="3"/>
    <n v="7.4694000000000003"/>
    <x v="0"/>
    <x v="7"/>
  </r>
  <r>
    <x v="501"/>
    <x v="400"/>
    <d v="2014-09-30T00:00:00"/>
    <x v="1"/>
    <s v="MT-18070"/>
    <s v="Michelle Tran"/>
    <x v="2"/>
    <s v="United States"/>
    <x v="6"/>
    <x v="5"/>
    <x v="3"/>
    <s v="FUR-BO-10003272"/>
    <s v="Furniture"/>
    <x v="0"/>
    <s v="O'Sullivan Living Dimensions 5-Shelf Bookcases"/>
    <n v="300.53280000000001"/>
    <n v="2"/>
    <n v="-97.231200000000001"/>
    <x v="2"/>
    <x v="4"/>
  </r>
  <r>
    <x v="502"/>
    <x v="401"/>
    <d v="2014-03-19T00:00:00"/>
    <x v="1"/>
    <s v="CK-12325"/>
    <s v="Christine Kargatis"/>
    <x v="2"/>
    <s v="United States"/>
    <x v="180"/>
    <x v="25"/>
    <x v="0"/>
    <s v="FUR-CH-10003379"/>
    <s v="Furniture"/>
    <x v="1"/>
    <s v="Global Commerce Series High-Back Swivel/Tilt Chairs"/>
    <n v="1139.92"/>
    <n v="4"/>
    <n v="284.98"/>
    <x v="2"/>
    <x v="9"/>
  </r>
  <r>
    <x v="503"/>
    <x v="402"/>
    <d v="2016-12-31T00:00:00"/>
    <x v="1"/>
    <s v="BG-11695"/>
    <s v="Brooke Gillingham"/>
    <x v="1"/>
    <s v="United States"/>
    <x v="181"/>
    <x v="8"/>
    <x v="3"/>
    <s v="FUR-CH-10004853"/>
    <s v="Furniture"/>
    <x v="1"/>
    <s v="Global Manager's Adjustable Task Chair, Storm"/>
    <n v="845.48800000000006"/>
    <n v="8"/>
    <n v="-12.0784"/>
    <x v="4"/>
    <x v="5"/>
  </r>
  <r>
    <x v="504"/>
    <x v="403"/>
    <d v="2017-04-15T00:00:00"/>
    <x v="1"/>
    <s v="DM-13345"/>
    <s v="Denise Monton"/>
    <x v="1"/>
    <s v="United States"/>
    <x v="153"/>
    <x v="24"/>
    <x v="0"/>
    <s v="FUR-FU-10003832"/>
    <s v="Furniture"/>
    <x v="3"/>
    <s v="Eldon Expressions Punched Metal &amp; Wood Desk Accessories, Black &amp; Cherry"/>
    <n v="56.28"/>
    <n v="6"/>
    <n v="15.7584"/>
    <x v="1"/>
    <x v="6"/>
  </r>
  <r>
    <x v="505"/>
    <x v="331"/>
    <d v="2016-03-21T00:00:00"/>
    <x v="0"/>
    <s v="SV-20935"/>
    <s v="Susan Vittorini"/>
    <x v="0"/>
    <s v="United States"/>
    <x v="64"/>
    <x v="7"/>
    <x v="2"/>
    <s v="FUR-FU-10000409"/>
    <s v="Furniture"/>
    <x v="3"/>
    <s v="GE 4 Foot Flourescent Tube, 40 Watt"/>
    <n v="14.98"/>
    <n v="1"/>
    <n v="6.8907999999999996"/>
    <x v="3"/>
    <x v="9"/>
  </r>
  <r>
    <x v="505"/>
    <x v="331"/>
    <d v="2016-03-21T00:00:00"/>
    <x v="0"/>
    <s v="SV-20935"/>
    <s v="Susan Vittorini"/>
    <x v="0"/>
    <s v="United States"/>
    <x v="64"/>
    <x v="7"/>
    <x v="2"/>
    <s v="FUR-FU-10000221"/>
    <s v="Furniture"/>
    <x v="3"/>
    <s v="Master Caster Door Stop, Brown"/>
    <n v="20.32"/>
    <n v="4"/>
    <n v="6.9088000000000003"/>
    <x v="3"/>
    <x v="9"/>
  </r>
  <r>
    <x v="506"/>
    <x v="238"/>
    <d v="2016-08-29T00:00:00"/>
    <x v="2"/>
    <s v="DJ-13510"/>
    <s v="Don Jones"/>
    <x v="1"/>
    <s v="United States"/>
    <x v="53"/>
    <x v="2"/>
    <x v="1"/>
    <s v="FUR-CH-10001215"/>
    <s v="Furniture"/>
    <x v="1"/>
    <s v="Global Troy Executive Leather Low-Back Tilter"/>
    <n v="1603.136"/>
    <n v="4"/>
    <n v="100.196"/>
    <x v="0"/>
    <x v="10"/>
  </r>
  <r>
    <x v="507"/>
    <x v="404"/>
    <d v="2016-08-17T00:00:00"/>
    <x v="0"/>
    <s v="CC-12370"/>
    <s v="Christopher Conant"/>
    <x v="0"/>
    <s v="United States"/>
    <x v="160"/>
    <x v="30"/>
    <x v="0"/>
    <s v="FUR-CH-10000988"/>
    <s v="Furniture"/>
    <x v="1"/>
    <s v="Hon Olson Stacker Stools"/>
    <n v="225.29599999999999"/>
    <n v="2"/>
    <n v="22.529599999999999"/>
    <x v="3"/>
    <x v="10"/>
  </r>
  <r>
    <x v="508"/>
    <x v="405"/>
    <d v="2017-05-23T00:00:00"/>
    <x v="1"/>
    <s v="SC-20380"/>
    <s v="Shahid Collister"/>
    <x v="0"/>
    <s v="United States"/>
    <x v="182"/>
    <x v="24"/>
    <x v="0"/>
    <s v="FUR-BO-10004695"/>
    <s v="Furniture"/>
    <x v="0"/>
    <s v="O'Sullivan 2-Door Barrister Bookcase in Odessa Pine"/>
    <n v="1628.82"/>
    <n v="9"/>
    <n v="374.62860000000001"/>
    <x v="4"/>
    <x v="7"/>
  </r>
  <r>
    <x v="509"/>
    <x v="235"/>
    <d v="2017-06-19T00:00:00"/>
    <x v="1"/>
    <s v="LC-16885"/>
    <s v="Lena Creighton"/>
    <x v="0"/>
    <s v="United States"/>
    <x v="66"/>
    <x v="1"/>
    <x v="0"/>
    <s v="FUR-FU-10001546"/>
    <s v="Furniture"/>
    <x v="3"/>
    <s v="Dana Swing-Arm Lamps"/>
    <n v="17.088000000000001"/>
    <n v="2"/>
    <n v="1.0680000000000001"/>
    <x v="1"/>
    <x v="2"/>
  </r>
  <r>
    <x v="510"/>
    <x v="406"/>
    <d v="2014-03-26T00:00:00"/>
    <x v="1"/>
    <s v="BF-11275"/>
    <s v="Beth Fritzler"/>
    <x v="1"/>
    <s v="United States"/>
    <x v="104"/>
    <x v="22"/>
    <x v="1"/>
    <s v="FUR-CH-10001482"/>
    <s v="Furniture"/>
    <x v="1"/>
    <s v="Office Star - Mesh Screen back chair with Vinyl seat"/>
    <n v="314.35199999999998"/>
    <n v="3"/>
    <n v="-35.364600000000003"/>
    <x v="4"/>
    <x v="9"/>
  </r>
  <r>
    <x v="511"/>
    <x v="407"/>
    <d v="2016-01-23T00:00:00"/>
    <x v="0"/>
    <s v="TD-20995"/>
    <s v="Tamara Dahlen"/>
    <x v="0"/>
    <s v="United States"/>
    <x v="53"/>
    <x v="2"/>
    <x v="1"/>
    <s v="FUR-CH-10004289"/>
    <s v="Furniture"/>
    <x v="1"/>
    <s v="Global Super Steno Chair"/>
    <n v="153.56800000000001"/>
    <n v="2"/>
    <n v="-5.7587999999999999"/>
    <x v="3"/>
    <x v="8"/>
  </r>
  <r>
    <x v="511"/>
    <x v="407"/>
    <d v="2016-01-23T00:00:00"/>
    <x v="0"/>
    <s v="TD-20995"/>
    <s v="Tamara Dahlen"/>
    <x v="0"/>
    <s v="United States"/>
    <x v="53"/>
    <x v="2"/>
    <x v="1"/>
    <s v="FUR-CH-10000785"/>
    <s v="Furniture"/>
    <x v="1"/>
    <s v="Global Ergonomic Managers Chair"/>
    <n v="1013.4880000000001"/>
    <n v="7"/>
    <n v="76.011600000000001"/>
    <x v="3"/>
    <x v="8"/>
  </r>
  <r>
    <x v="512"/>
    <x v="367"/>
    <d v="2016-11-16T00:00:00"/>
    <x v="0"/>
    <s v="BK-11260"/>
    <s v="Berenike Kampe"/>
    <x v="0"/>
    <s v="United States"/>
    <x v="28"/>
    <x v="2"/>
    <x v="1"/>
    <s v="FUR-FU-10001852"/>
    <s v="Furniture"/>
    <x v="3"/>
    <s v="Eldon Regeneration Recycled Desk Accessories, Smoke"/>
    <n v="6.96"/>
    <n v="4"/>
    <n v="2.2271999999999998"/>
    <x v="2"/>
    <x v="0"/>
  </r>
  <r>
    <x v="513"/>
    <x v="408"/>
    <d v="2016-10-22T00:00:00"/>
    <x v="1"/>
    <s v="EP-13915"/>
    <s v="Emily Phan"/>
    <x v="0"/>
    <s v="United States"/>
    <x v="183"/>
    <x v="22"/>
    <x v="1"/>
    <s v="FUR-CH-10003396"/>
    <s v="Furniture"/>
    <x v="1"/>
    <s v="Global Deluxe Steno Chair"/>
    <n v="307.92"/>
    <n v="5"/>
    <n v="-34.640999999999998"/>
    <x v="4"/>
    <x v="1"/>
  </r>
  <r>
    <x v="514"/>
    <x v="149"/>
    <d v="2014-05-01T00:00:00"/>
    <x v="0"/>
    <s v="HG-14845"/>
    <s v="Harry Greene"/>
    <x v="0"/>
    <s v="United States"/>
    <x v="184"/>
    <x v="35"/>
    <x v="0"/>
    <s v="FUR-CH-10002304"/>
    <s v="Furniture"/>
    <x v="1"/>
    <s v="Global Stack Chair without Arms, Black"/>
    <n v="51.96"/>
    <n v="2"/>
    <n v="12.99"/>
    <x v="3"/>
    <x v="6"/>
  </r>
  <r>
    <x v="515"/>
    <x v="409"/>
    <d v="2017-10-29T00:00:00"/>
    <x v="1"/>
    <s v="JC-16105"/>
    <s v="Julie Creighton"/>
    <x v="1"/>
    <s v="United States"/>
    <x v="77"/>
    <x v="7"/>
    <x v="2"/>
    <s v="FUR-FU-10000771"/>
    <s v="Furniture"/>
    <x v="3"/>
    <s v="Eldon 200 Class Desk Accessories, Smoke"/>
    <n v="69.08"/>
    <n v="11"/>
    <n v="29.0136"/>
    <x v="6"/>
    <x v="1"/>
  </r>
  <r>
    <x v="516"/>
    <x v="12"/>
    <d v="2015-04-30T00:00:00"/>
    <x v="1"/>
    <s v="PW-19240"/>
    <s v="Pierre Wener"/>
    <x v="0"/>
    <s v="United States"/>
    <x v="6"/>
    <x v="5"/>
    <x v="3"/>
    <s v="FUR-CH-10004086"/>
    <s v="Furniture"/>
    <x v="1"/>
    <s v="Hon 4070 Series Pagoda Armless Upholstered Stacking Chairs"/>
    <n v="408.42200000000003"/>
    <n v="2"/>
    <n v="-5.8346"/>
    <x v="4"/>
    <x v="6"/>
  </r>
  <r>
    <x v="517"/>
    <x v="410"/>
    <d v="2016-07-01T00:00:00"/>
    <x v="1"/>
    <s v="KH-16330"/>
    <s v="Katharine Harms"/>
    <x v="1"/>
    <s v="United States"/>
    <x v="185"/>
    <x v="8"/>
    <x v="3"/>
    <s v="FUR-CH-10003981"/>
    <s v="Furniture"/>
    <x v="1"/>
    <s v="Global Commerce Series Low-Back Swivel/Tilt Chairs"/>
    <n v="539.65800000000002"/>
    <n v="3"/>
    <n v="-7.7093999999999996"/>
    <x v="4"/>
    <x v="2"/>
  </r>
  <r>
    <x v="518"/>
    <x v="411"/>
    <d v="2016-11-23T00:00:00"/>
    <x v="3"/>
    <s v="LS-17200"/>
    <s v="Luke Schmidt"/>
    <x v="1"/>
    <s v="United States"/>
    <x v="3"/>
    <x v="3"/>
    <x v="2"/>
    <s v="FUR-FU-10002088"/>
    <s v="Furniture"/>
    <x v="3"/>
    <s v="Nu-Dell Float Frame 11 x 14 1/2"/>
    <n v="14.368"/>
    <n v="2"/>
    <n v="3.9512"/>
    <x v="7"/>
    <x v="0"/>
  </r>
  <r>
    <x v="518"/>
    <x v="411"/>
    <d v="2016-11-23T00:00:00"/>
    <x v="3"/>
    <s v="LS-17200"/>
    <s v="Luke Schmidt"/>
    <x v="1"/>
    <s v="United States"/>
    <x v="3"/>
    <x v="3"/>
    <x v="2"/>
    <s v="FUR-FU-10003976"/>
    <s v="Furniture"/>
    <x v="3"/>
    <s v="DAX Executive Solid Wood Document Frame, Desktop or Hang, Mahogany, 5 x 7"/>
    <n v="70.447999999999993"/>
    <n v="7"/>
    <n v="12.3284"/>
    <x v="7"/>
    <x v="0"/>
  </r>
  <r>
    <x v="519"/>
    <x v="412"/>
    <d v="2014-09-05T00:00:00"/>
    <x v="2"/>
    <s v="JM-16195"/>
    <s v="Justin MacKendrick"/>
    <x v="0"/>
    <s v="United States"/>
    <x v="115"/>
    <x v="7"/>
    <x v="2"/>
    <s v="FUR-FU-10002116"/>
    <s v="Furniture"/>
    <x v="3"/>
    <s v="Tenex Carpeted, Granite-Look or Clear Contemporary Contour Shape Chair Mats"/>
    <n v="70.709999999999994"/>
    <n v="1"/>
    <n v="4.9497"/>
    <x v="0"/>
    <x v="4"/>
  </r>
  <r>
    <x v="520"/>
    <x v="413"/>
    <d v="2017-07-14T00:00:00"/>
    <x v="0"/>
    <s v="BP-11155"/>
    <s v="Becky Pak"/>
    <x v="0"/>
    <s v="United States"/>
    <x v="29"/>
    <x v="24"/>
    <x v="0"/>
    <s v="FUR-FU-10000771"/>
    <s v="Furniture"/>
    <x v="3"/>
    <s v="Eldon 200 Class Desk Accessories, Smoke"/>
    <n v="18.84"/>
    <n v="3"/>
    <n v="7.9127999999999998"/>
    <x v="4"/>
    <x v="3"/>
  </r>
  <r>
    <x v="521"/>
    <x v="414"/>
    <d v="2017-11-24T00:00:00"/>
    <x v="1"/>
    <s v="ME-17320"/>
    <s v="Maria Etezadi"/>
    <x v="2"/>
    <s v="United States"/>
    <x v="186"/>
    <x v="17"/>
    <x v="3"/>
    <s v="FUR-FU-10002597"/>
    <s v="Furniture"/>
    <x v="3"/>
    <s v="C-Line Magnetic Cubicle Keepers, Clear Polypropylene"/>
    <n v="19.760000000000002"/>
    <n v="4"/>
    <n v="8.2992000000000008"/>
    <x v="6"/>
    <x v="0"/>
  </r>
  <r>
    <x v="522"/>
    <x v="415"/>
    <d v="2015-08-08T00:00:00"/>
    <x v="3"/>
    <s v="TT-21220"/>
    <s v="Thomas Thornton"/>
    <x v="0"/>
    <s v="United States"/>
    <x v="28"/>
    <x v="2"/>
    <x v="1"/>
    <s v="FUR-CH-10000785"/>
    <s v="Furniture"/>
    <x v="1"/>
    <s v="Global Ergonomic Managers Chair"/>
    <n v="144.78399999999999"/>
    <n v="1"/>
    <n v="10.8588"/>
    <x v="7"/>
    <x v="10"/>
  </r>
  <r>
    <x v="523"/>
    <x v="416"/>
    <d v="2017-03-31T00:00:00"/>
    <x v="1"/>
    <s v="JD-16150"/>
    <s v="Justin Deggeller"/>
    <x v="1"/>
    <s v="United States"/>
    <x v="79"/>
    <x v="16"/>
    <x v="3"/>
    <s v="FUR-CH-10000422"/>
    <s v="Furniture"/>
    <x v="1"/>
    <s v="Global Highback Leather Tilter in Burgundy"/>
    <n v="90.99"/>
    <n v="1"/>
    <n v="14.558400000000001"/>
    <x v="6"/>
    <x v="9"/>
  </r>
  <r>
    <x v="523"/>
    <x v="416"/>
    <d v="2017-03-31T00:00:00"/>
    <x v="1"/>
    <s v="JD-16150"/>
    <s v="Justin Deggeller"/>
    <x v="1"/>
    <s v="United States"/>
    <x v="79"/>
    <x v="16"/>
    <x v="3"/>
    <s v="FUR-CH-10004675"/>
    <s v="Furniture"/>
    <x v="1"/>
    <s v="Lifetime Advantage Folding Chairs, 4/Carton"/>
    <n v="1526.56"/>
    <n v="7"/>
    <n v="427.43680000000001"/>
    <x v="6"/>
    <x v="9"/>
  </r>
  <r>
    <x v="523"/>
    <x v="416"/>
    <d v="2017-03-31T00:00:00"/>
    <x v="1"/>
    <s v="JD-16150"/>
    <s v="Justin Deggeller"/>
    <x v="1"/>
    <s v="United States"/>
    <x v="79"/>
    <x v="16"/>
    <x v="3"/>
    <s v="FUR-CH-10002880"/>
    <s v="Furniture"/>
    <x v="1"/>
    <s v="Global High-Back Leather Tilter, Burgundy"/>
    <n v="368.97"/>
    <n v="3"/>
    <n v="40.5867"/>
    <x v="6"/>
    <x v="9"/>
  </r>
  <r>
    <x v="524"/>
    <x v="49"/>
    <d v="2017-11-24T00:00:00"/>
    <x v="1"/>
    <s v="MC-18100"/>
    <s v="Mick Crebagga"/>
    <x v="0"/>
    <s v="United States"/>
    <x v="2"/>
    <x v="2"/>
    <x v="1"/>
    <s v="FUR-FU-10002685"/>
    <s v="Furniture"/>
    <x v="3"/>
    <s v="Executive Impressions 13-1/2&quot; Indoor/Outdoor Wall Clock"/>
    <n v="18.7"/>
    <n v="1"/>
    <n v="7.1059999999999999"/>
    <x v="2"/>
    <x v="0"/>
  </r>
  <r>
    <x v="525"/>
    <x v="114"/>
    <d v="2016-11-05T00:00:00"/>
    <x v="2"/>
    <s v="LH-17020"/>
    <s v="Lisa Hazard"/>
    <x v="0"/>
    <s v="United States"/>
    <x v="28"/>
    <x v="2"/>
    <x v="1"/>
    <s v="FUR-FU-10004020"/>
    <s v="Furniture"/>
    <x v="3"/>
    <s v="Advantus Panel Wall Acrylic Frame"/>
    <n v="38.29"/>
    <n v="7"/>
    <n v="16.464700000000001"/>
    <x v="5"/>
    <x v="0"/>
  </r>
  <r>
    <x v="526"/>
    <x v="417"/>
    <d v="2017-12-18T00:00:00"/>
    <x v="1"/>
    <s v="MP-18175"/>
    <s v="Mike Pelletier"/>
    <x v="2"/>
    <s v="United States"/>
    <x v="53"/>
    <x v="2"/>
    <x v="1"/>
    <s v="FUR-FU-10004963"/>
    <s v="Furniture"/>
    <x v="3"/>
    <s v="Eldon 400 Class Desk Accessories, Black Carbon"/>
    <n v="26.25"/>
    <n v="3"/>
    <n v="11.025"/>
    <x v="4"/>
    <x v="5"/>
  </r>
  <r>
    <x v="527"/>
    <x v="418"/>
    <d v="2017-11-12T00:00:00"/>
    <x v="3"/>
    <s v="EM-14140"/>
    <s v="Eugene Moren"/>
    <x v="2"/>
    <s v="United States"/>
    <x v="110"/>
    <x v="22"/>
    <x v="1"/>
    <s v="FUR-CH-10004875"/>
    <s v="Furniture"/>
    <x v="1"/>
    <s v="Harbour Creations 67200 Series Stacking Chairs"/>
    <n v="113.88800000000001"/>
    <n v="2"/>
    <n v="9.9651999999999994"/>
    <x v="7"/>
    <x v="0"/>
  </r>
  <r>
    <x v="527"/>
    <x v="418"/>
    <d v="2017-11-12T00:00:00"/>
    <x v="3"/>
    <s v="EM-14140"/>
    <s v="Eugene Moren"/>
    <x v="2"/>
    <s v="United States"/>
    <x v="110"/>
    <x v="22"/>
    <x v="1"/>
    <s v="FUR-FU-10000305"/>
    <s v="Furniture"/>
    <x v="3"/>
    <s v="Tenex V2T-RE Standard Weight Series Chair Mat, 45&quot; x 53&quot;, Lip 25&quot; x 12&quot;"/>
    <n v="113.568"/>
    <n v="2"/>
    <n v="-5.6783999999999999"/>
    <x v="7"/>
    <x v="0"/>
  </r>
  <r>
    <x v="528"/>
    <x v="419"/>
    <d v="2017-07-04T00:00:00"/>
    <x v="1"/>
    <s v="MA-17995"/>
    <s v="Michelle Arnett"/>
    <x v="2"/>
    <s v="United States"/>
    <x v="115"/>
    <x v="7"/>
    <x v="2"/>
    <s v="FUR-CH-10002647"/>
    <s v="Furniture"/>
    <x v="1"/>
    <s v="Situations Contoured Folding Chairs, 4/Set"/>
    <n v="191.64599999999999"/>
    <n v="3"/>
    <n v="31.940999999999999"/>
    <x v="1"/>
    <x v="2"/>
  </r>
  <r>
    <x v="529"/>
    <x v="420"/>
    <d v="2017-12-21T00:00:00"/>
    <x v="0"/>
    <s v="AY-10555"/>
    <s v="Andy Yotov"/>
    <x v="1"/>
    <s v="United States"/>
    <x v="64"/>
    <x v="2"/>
    <x v="1"/>
    <s v="FUR-CH-10002774"/>
    <s v="Furniture"/>
    <x v="1"/>
    <s v="Global Deluxe Stacking Chair, Gray"/>
    <n v="81.567999999999998"/>
    <n v="2"/>
    <n v="9.1763999999999992"/>
    <x v="2"/>
    <x v="5"/>
  </r>
  <r>
    <x v="529"/>
    <x v="420"/>
    <d v="2017-12-21T00:00:00"/>
    <x v="0"/>
    <s v="AY-10555"/>
    <s v="Andy Yotov"/>
    <x v="1"/>
    <s v="United States"/>
    <x v="64"/>
    <x v="2"/>
    <x v="1"/>
    <s v="FUR-CH-10003817"/>
    <s v="Furniture"/>
    <x v="1"/>
    <s v="Global Value Steno Chair, Gray"/>
    <n v="97.183999999999997"/>
    <n v="2"/>
    <n v="6.0739999999999998"/>
    <x v="2"/>
    <x v="5"/>
  </r>
  <r>
    <x v="529"/>
    <x v="420"/>
    <d v="2017-12-21T00:00:00"/>
    <x v="0"/>
    <s v="AY-10555"/>
    <s v="Andy Yotov"/>
    <x v="1"/>
    <s v="United States"/>
    <x v="64"/>
    <x v="2"/>
    <x v="1"/>
    <s v="FUR-FU-10002445"/>
    <s v="Furniture"/>
    <x v="3"/>
    <s v="DAX Two-Tone Rosewood/Black Document Frame, Desktop, 5 x 7"/>
    <n v="18.96"/>
    <n v="2"/>
    <n v="7.5839999999999996"/>
    <x v="2"/>
    <x v="5"/>
  </r>
  <r>
    <x v="530"/>
    <x v="421"/>
    <d v="2014-12-31T00:00:00"/>
    <x v="1"/>
    <s v="Co-12640"/>
    <s v="Corey-Lock"/>
    <x v="0"/>
    <s v="United States"/>
    <x v="187"/>
    <x v="8"/>
    <x v="3"/>
    <s v="FUR-FU-10001473"/>
    <s v="Furniture"/>
    <x v="3"/>
    <s v="DAX Wood Document Frame"/>
    <n v="32.951999999999998"/>
    <n v="6"/>
    <n v="-19.7712"/>
    <x v="4"/>
    <x v="5"/>
  </r>
  <r>
    <x v="531"/>
    <x v="200"/>
    <d v="2017-11-09T00:00:00"/>
    <x v="0"/>
    <s v="JF-15565"/>
    <s v="Jill Fjeld"/>
    <x v="0"/>
    <s v="United States"/>
    <x v="160"/>
    <x v="30"/>
    <x v="0"/>
    <s v="FUR-FU-10004671"/>
    <s v="Furniture"/>
    <x v="3"/>
    <s v="Executive Impressions 12&quot; Wall Clock"/>
    <n v="28.271999999999998"/>
    <n v="2"/>
    <n v="6.3612000000000002"/>
    <x v="0"/>
    <x v="0"/>
  </r>
  <r>
    <x v="532"/>
    <x v="422"/>
    <d v="2015-05-12T00:00:00"/>
    <x v="1"/>
    <s v="AG-10675"/>
    <s v="Anna Gayman"/>
    <x v="0"/>
    <s v="United States"/>
    <x v="188"/>
    <x v="5"/>
    <x v="3"/>
    <s v="FUR-TA-10001095"/>
    <s v="Furniture"/>
    <x v="2"/>
    <s v="Chromcraft Round Conference Tables"/>
    <n v="244.006"/>
    <n v="2"/>
    <n v="-31.372199999999999"/>
    <x v="2"/>
    <x v="7"/>
  </r>
  <r>
    <x v="533"/>
    <x v="423"/>
    <d v="2017-12-04T00:00:00"/>
    <x v="3"/>
    <s v="DV-13045"/>
    <s v="Darrin Van Huff"/>
    <x v="1"/>
    <s v="United States"/>
    <x v="3"/>
    <x v="3"/>
    <x v="2"/>
    <s v="FUR-CH-10001797"/>
    <s v="Furniture"/>
    <x v="1"/>
    <s v="Safco Chair Connectors, 6/Carton"/>
    <n v="188.55199999999999"/>
    <n v="7"/>
    <n v="-2.6936"/>
    <x v="7"/>
    <x v="5"/>
  </r>
  <r>
    <x v="534"/>
    <x v="424"/>
    <d v="2014-01-16T00:00:00"/>
    <x v="0"/>
    <s v="ND-18370"/>
    <s v="Natalie DeCherney"/>
    <x v="0"/>
    <s v="United States"/>
    <x v="189"/>
    <x v="10"/>
    <x v="0"/>
    <s v="FUR-CH-10000422"/>
    <s v="Furniture"/>
    <x v="1"/>
    <s v="Global Highback Leather Tilter in Burgundy"/>
    <n v="545.94000000000005"/>
    <n v="6"/>
    <n v="87.350399999999993"/>
    <x v="0"/>
    <x v="8"/>
  </r>
  <r>
    <x v="535"/>
    <x v="425"/>
    <d v="2015-06-17T00:00:00"/>
    <x v="1"/>
    <s v="GB-14575"/>
    <s v="Giulietta Baptist"/>
    <x v="0"/>
    <s v="United States"/>
    <x v="3"/>
    <x v="3"/>
    <x v="2"/>
    <s v="FUR-FU-10003623"/>
    <s v="Furniture"/>
    <x v="3"/>
    <s v="DataProducts Ampli Magnifier Task Lamp, Black,"/>
    <n v="43.295999999999999"/>
    <n v="2"/>
    <n v="4.3296000000000001"/>
    <x v="2"/>
    <x v="2"/>
  </r>
  <r>
    <x v="536"/>
    <x v="56"/>
    <d v="2014-07-18T00:00:00"/>
    <x v="1"/>
    <s v="CL-12565"/>
    <s v="Clay Ludtke"/>
    <x v="0"/>
    <s v="United States"/>
    <x v="15"/>
    <x v="13"/>
    <x v="1"/>
    <s v="FUR-CH-10001797"/>
    <s v="Furniture"/>
    <x v="1"/>
    <s v="Safco Chair Connectors, 6/Carton"/>
    <n v="123.136"/>
    <n v="4"/>
    <n v="13.8528"/>
    <x v="6"/>
    <x v="3"/>
  </r>
  <r>
    <x v="537"/>
    <x v="387"/>
    <d v="2014-12-11T00:00:00"/>
    <x v="0"/>
    <s v="RC-19960"/>
    <s v="Ryan Crowe"/>
    <x v="0"/>
    <s v="United States"/>
    <x v="76"/>
    <x v="36"/>
    <x v="1"/>
    <s v="FUR-TA-10003238"/>
    <s v="Furniture"/>
    <x v="2"/>
    <s v="Chromcraft Bull-Nose Wood 48&quot; x 96&quot; Rectangular Conference Tables"/>
    <n v="275.49"/>
    <n v="1"/>
    <n v="-170.8038"/>
    <x v="2"/>
    <x v="5"/>
  </r>
  <r>
    <x v="538"/>
    <x v="426"/>
    <d v="2016-05-30T00:00:00"/>
    <x v="1"/>
    <s v="JB-16045"/>
    <s v="Julia Barnett"/>
    <x v="2"/>
    <s v="United States"/>
    <x v="29"/>
    <x v="24"/>
    <x v="0"/>
    <s v="FUR-FU-10000755"/>
    <s v="Furniture"/>
    <x v="3"/>
    <s v="Eldon Expressions Mahogany Wood Desk Collection"/>
    <n v="24.96"/>
    <n v="4"/>
    <n v="6.24"/>
    <x v="2"/>
    <x v="7"/>
  </r>
  <r>
    <x v="539"/>
    <x v="112"/>
    <d v="2014-06-25T00:00:00"/>
    <x v="1"/>
    <s v="NW-18400"/>
    <s v="Natalie Webber"/>
    <x v="0"/>
    <s v="United States"/>
    <x v="3"/>
    <x v="3"/>
    <x v="2"/>
    <s v="FUR-FU-10000550"/>
    <s v="Furniture"/>
    <x v="3"/>
    <s v="Stacking Trays by OIC"/>
    <n v="3.984"/>
    <n v="1"/>
    <n v="0.64739999999999998"/>
    <x v="4"/>
    <x v="2"/>
  </r>
  <r>
    <x v="540"/>
    <x v="28"/>
    <d v="2016-12-06T00:00:00"/>
    <x v="2"/>
    <s v="JG-15160"/>
    <s v="James Galang"/>
    <x v="0"/>
    <s v="United States"/>
    <x v="190"/>
    <x v="0"/>
    <x v="0"/>
    <s v="FUR-FU-10004748"/>
    <s v="Furniture"/>
    <x v="3"/>
    <s v="Howard Miller 16&quot; Diameter Gallery Wall Clock"/>
    <n v="191.82"/>
    <n v="3"/>
    <n v="74.809799999999996"/>
    <x v="5"/>
    <x v="5"/>
  </r>
  <r>
    <x v="541"/>
    <x v="5"/>
    <d v="2015-09-21T00:00:00"/>
    <x v="1"/>
    <s v="LS-16975"/>
    <s v="Lindsay Shagiari"/>
    <x v="2"/>
    <s v="United States"/>
    <x v="13"/>
    <x v="7"/>
    <x v="2"/>
    <s v="FUR-TA-10004154"/>
    <s v="Furniture"/>
    <x v="2"/>
    <s v="Riverside Furniture Oval Coffee Table, Oval End Table, End Table with Drawer"/>
    <n v="344.22"/>
    <n v="2"/>
    <n v="-103.26600000000001"/>
    <x v="4"/>
    <x v="4"/>
  </r>
  <r>
    <x v="542"/>
    <x v="427"/>
    <d v="2016-08-30T00:00:00"/>
    <x v="1"/>
    <s v="MH-18115"/>
    <s v="Mick Hernandez"/>
    <x v="2"/>
    <s v="United States"/>
    <x v="191"/>
    <x v="5"/>
    <x v="3"/>
    <s v="FUR-FU-10004973"/>
    <s v="Furniture"/>
    <x v="3"/>
    <s v="Flat Face Poster Frame"/>
    <n v="22.608000000000001"/>
    <n v="3"/>
    <n v="-10.1736"/>
    <x v="1"/>
    <x v="10"/>
  </r>
  <r>
    <x v="543"/>
    <x v="428"/>
    <d v="2015-11-14T00:00:00"/>
    <x v="1"/>
    <s v="SC-20095"/>
    <s v="Sanjit Chand"/>
    <x v="0"/>
    <s v="United States"/>
    <x v="192"/>
    <x v="4"/>
    <x v="1"/>
    <s v="FUR-FU-10004090"/>
    <s v="Furniture"/>
    <x v="3"/>
    <s v="Executive Impressions 14&quot; Contract Wall Clock"/>
    <n v="66.69"/>
    <n v="3"/>
    <n v="22.0077"/>
    <x v="6"/>
    <x v="0"/>
  </r>
  <r>
    <x v="544"/>
    <x v="429"/>
    <d v="2017-11-23T00:00:00"/>
    <x v="1"/>
    <s v="JB-16000"/>
    <s v="Joy Bell-"/>
    <x v="0"/>
    <s v="United States"/>
    <x v="193"/>
    <x v="5"/>
    <x v="3"/>
    <s v="FUR-BO-10002202"/>
    <s v="Furniture"/>
    <x v="0"/>
    <s v="Atlantic Metals Mobile 2-Shelf Bookcases, Custom Colors"/>
    <n v="327.7328"/>
    <n v="2"/>
    <n v="-14.4588"/>
    <x v="6"/>
    <x v="0"/>
  </r>
  <r>
    <x v="545"/>
    <x v="135"/>
    <d v="2017-04-26T00:00:00"/>
    <x v="1"/>
    <s v="MO-17800"/>
    <s v="Meg O'Connel"/>
    <x v="2"/>
    <s v="United States"/>
    <x v="3"/>
    <x v="3"/>
    <x v="2"/>
    <s v="FUR-FU-10001488"/>
    <s v="Furniture"/>
    <x v="3"/>
    <s v="Tenex 46&quot; x 60&quot; Computer Anti-Static Chairmat, Rectangular Shaped"/>
    <n v="254.352"/>
    <n v="3"/>
    <n v="0"/>
    <x v="4"/>
    <x v="6"/>
  </r>
  <r>
    <x v="546"/>
    <x v="430"/>
    <d v="2017-12-21T00:00:00"/>
    <x v="1"/>
    <s v="AI-10855"/>
    <s v="Arianne Irving"/>
    <x v="0"/>
    <s v="United States"/>
    <x v="180"/>
    <x v="25"/>
    <x v="0"/>
    <s v="FUR-CH-10003846"/>
    <s v="Furniture"/>
    <x v="1"/>
    <s v="Hon Valutask Swivel Chairs"/>
    <n v="504.9"/>
    <n v="5"/>
    <n v="80.784000000000006"/>
    <x v="4"/>
    <x v="5"/>
  </r>
  <r>
    <x v="547"/>
    <x v="231"/>
    <d v="2015-09-27T00:00:00"/>
    <x v="1"/>
    <s v="DM-12955"/>
    <s v="Dario Medina"/>
    <x v="1"/>
    <s v="United States"/>
    <x v="194"/>
    <x v="17"/>
    <x v="3"/>
    <s v="FUR-BO-10000468"/>
    <s v="Furniture"/>
    <x v="0"/>
    <s v="O'Sullivan 2-Shelf Heavy-Duty Bookcases"/>
    <n v="194.32"/>
    <n v="4"/>
    <n v="31.091200000000001"/>
    <x v="6"/>
    <x v="4"/>
  </r>
  <r>
    <x v="548"/>
    <x v="431"/>
    <d v="2016-11-26T00:00:00"/>
    <x v="1"/>
    <s v="JH-16180"/>
    <s v="Justin Hirsh"/>
    <x v="0"/>
    <s v="United States"/>
    <x v="195"/>
    <x v="36"/>
    <x v="1"/>
    <s v="FUR-CH-10003833"/>
    <s v="Furniture"/>
    <x v="1"/>
    <s v="Novimex Fabric Task Chair"/>
    <n v="195.136"/>
    <n v="4"/>
    <n v="-12.196"/>
    <x v="2"/>
    <x v="0"/>
  </r>
  <r>
    <x v="549"/>
    <x v="432"/>
    <d v="2015-06-16T00:00:00"/>
    <x v="1"/>
    <s v="BD-11605"/>
    <s v="Brian Dahlen"/>
    <x v="0"/>
    <s v="United States"/>
    <x v="91"/>
    <x v="35"/>
    <x v="0"/>
    <s v="FUR-FU-10004666"/>
    <s v="Furniture"/>
    <x v="3"/>
    <s v="DAX Clear Channel Poster Frame"/>
    <n v="29.16"/>
    <n v="2"/>
    <n v="10.789199999999999"/>
    <x v="2"/>
    <x v="2"/>
  </r>
  <r>
    <x v="550"/>
    <x v="433"/>
    <d v="2017-10-08T00:00:00"/>
    <x v="1"/>
    <s v="AS-10045"/>
    <s v="Aaron Smayling"/>
    <x v="1"/>
    <s v="United States"/>
    <x v="102"/>
    <x v="2"/>
    <x v="1"/>
    <s v="FUR-TA-10001520"/>
    <s v="Furniture"/>
    <x v="2"/>
    <s v="Lesro Sheffield Collection Coffee Table, End Table, Center Table, Corner Table"/>
    <n v="171.28800000000001"/>
    <n v="3"/>
    <n v="-6.4233000000000002"/>
    <x v="2"/>
    <x v="1"/>
  </r>
  <r>
    <x v="551"/>
    <x v="399"/>
    <d v="2016-05-09T00:00:00"/>
    <x v="1"/>
    <s v="ZD-21925"/>
    <s v="Zuschuss Donatelli"/>
    <x v="0"/>
    <s v="United States"/>
    <x v="196"/>
    <x v="9"/>
    <x v="0"/>
    <s v="FUR-FU-10004270"/>
    <s v="Furniture"/>
    <x v="3"/>
    <s v="Eldon Image Series Desk Accessories, Burgundy"/>
    <n v="16.72"/>
    <n v="5"/>
    <n v="3.3439999999999999"/>
    <x v="4"/>
    <x v="7"/>
  </r>
  <r>
    <x v="552"/>
    <x v="91"/>
    <d v="2017-09-12T00:00:00"/>
    <x v="3"/>
    <s v="KF-16285"/>
    <s v="Karen Ferguson"/>
    <x v="2"/>
    <s v="United States"/>
    <x v="62"/>
    <x v="2"/>
    <x v="1"/>
    <s v="FUR-CH-10002320"/>
    <s v="Furniture"/>
    <x v="1"/>
    <s v="Hon Pagoda Stacking Chairs"/>
    <n v="2054.2719999999999"/>
    <n v="8"/>
    <n v="256.78399999999999"/>
    <x v="5"/>
    <x v="4"/>
  </r>
  <r>
    <x v="553"/>
    <x v="214"/>
    <d v="2017-04-04T00:00:00"/>
    <x v="2"/>
    <s v="TC-21475"/>
    <s v="Tony Chapman"/>
    <x v="2"/>
    <s v="United States"/>
    <x v="29"/>
    <x v="24"/>
    <x v="0"/>
    <s v="FUR-TA-10004534"/>
    <s v="Furniture"/>
    <x v="2"/>
    <s v="Bevis 44 x 96 Conference Tables"/>
    <n v="411.8"/>
    <n v="2"/>
    <n v="70.006"/>
    <x v="3"/>
    <x v="6"/>
  </r>
  <r>
    <x v="554"/>
    <x v="434"/>
    <d v="2017-10-11T00:00:00"/>
    <x v="1"/>
    <s v="NZ-18565"/>
    <s v="Nick Zandusky"/>
    <x v="2"/>
    <s v="United States"/>
    <x v="197"/>
    <x v="42"/>
    <x v="1"/>
    <s v="FUR-FU-10003247"/>
    <s v="Furniture"/>
    <x v="3"/>
    <s v="36X48 HARDFLOOR CHAIRMAT"/>
    <n v="41.96"/>
    <n v="2"/>
    <n v="2.9371999999999998"/>
    <x v="2"/>
    <x v="1"/>
  </r>
  <r>
    <x v="555"/>
    <x v="66"/>
    <d v="2017-10-24T00:00:00"/>
    <x v="0"/>
    <s v="HH-15010"/>
    <s v="Hilary Holden"/>
    <x v="1"/>
    <s v="United States"/>
    <x v="28"/>
    <x v="2"/>
    <x v="1"/>
    <s v="FUR-FU-10003878"/>
    <s v="Furniture"/>
    <x v="3"/>
    <s v="Linden 10&quot; Round Wall Clock, Black"/>
    <n v="30.56"/>
    <n v="2"/>
    <n v="10.3904"/>
    <x v="2"/>
    <x v="1"/>
  </r>
  <r>
    <x v="555"/>
    <x v="66"/>
    <d v="2017-10-24T00:00:00"/>
    <x v="0"/>
    <s v="HH-15010"/>
    <s v="Hilary Holden"/>
    <x v="1"/>
    <s v="United States"/>
    <x v="28"/>
    <x v="2"/>
    <x v="1"/>
    <s v="FUR-TA-10003837"/>
    <s v="Furniture"/>
    <x v="2"/>
    <s v="Anderson Hickey Conga Table Tops &amp; Accessories"/>
    <n v="24.367999999999999"/>
    <n v="2"/>
    <n v="-3.3506"/>
    <x v="2"/>
    <x v="1"/>
  </r>
  <r>
    <x v="556"/>
    <x v="317"/>
    <d v="2014-11-22T00:00:00"/>
    <x v="1"/>
    <s v="YC-21895"/>
    <s v="Yoseph Carroll"/>
    <x v="1"/>
    <s v="United States"/>
    <x v="19"/>
    <x v="14"/>
    <x v="2"/>
    <s v="FUR-FU-10002379"/>
    <s v="Furniture"/>
    <x v="3"/>
    <s v="Eldon Econocleat Chair Mats for Low Pile Carpets"/>
    <n v="124.41"/>
    <n v="3"/>
    <n v="14.9292"/>
    <x v="2"/>
    <x v="0"/>
  </r>
  <r>
    <x v="557"/>
    <x v="131"/>
    <d v="2015-10-08T00:00:00"/>
    <x v="1"/>
    <s v="BS-11755"/>
    <s v="Bruce Stewart"/>
    <x v="0"/>
    <s v="United States"/>
    <x v="2"/>
    <x v="2"/>
    <x v="1"/>
    <s v="FUR-BO-10004409"/>
    <s v="Furniture"/>
    <x v="0"/>
    <s v="Safco Value Mate Series Steel Bookcases, Baked Enamel Finish on Steel, Gray"/>
    <n v="120.666"/>
    <n v="2"/>
    <n v="18.454799999999999"/>
    <x v="2"/>
    <x v="1"/>
  </r>
  <r>
    <x v="558"/>
    <x v="435"/>
    <d v="2014-07-24T00:00:00"/>
    <x v="1"/>
    <s v="KM-16375"/>
    <s v="Katherine Murray"/>
    <x v="2"/>
    <s v="United States"/>
    <x v="144"/>
    <x v="5"/>
    <x v="3"/>
    <s v="FUR-FU-10003724"/>
    <s v="Furniture"/>
    <x v="3"/>
    <s v="Westinghouse Clip-On Gooseneck Lamps"/>
    <n v="16.739999999999998"/>
    <n v="5"/>
    <n v="-14.228999999999999"/>
    <x v="4"/>
    <x v="3"/>
  </r>
  <r>
    <x v="558"/>
    <x v="435"/>
    <d v="2014-07-24T00:00:00"/>
    <x v="1"/>
    <s v="KM-16375"/>
    <s v="Katherine Murray"/>
    <x v="2"/>
    <s v="United States"/>
    <x v="144"/>
    <x v="5"/>
    <x v="3"/>
    <s v="FUR-CH-10002024"/>
    <s v="Furniture"/>
    <x v="1"/>
    <s v="HON 5400 Series Task Chairs for Big and Tall"/>
    <n v="981.37199999999996"/>
    <n v="2"/>
    <n v="-140.196"/>
    <x v="4"/>
    <x v="3"/>
  </r>
  <r>
    <x v="559"/>
    <x v="436"/>
    <d v="2017-02-14T00:00:00"/>
    <x v="1"/>
    <s v="TP-21415"/>
    <s v="Tom Prescott"/>
    <x v="0"/>
    <s v="United States"/>
    <x v="6"/>
    <x v="5"/>
    <x v="3"/>
    <s v="FUR-FU-10000550"/>
    <s v="Furniture"/>
    <x v="3"/>
    <s v="Stacking Trays by OIC"/>
    <n v="3.984"/>
    <n v="2"/>
    <n v="-2.6892"/>
    <x v="2"/>
    <x v="11"/>
  </r>
  <r>
    <x v="560"/>
    <x v="76"/>
    <d v="2017-04-02T00:00:00"/>
    <x v="0"/>
    <s v="DB-12910"/>
    <s v="Daniel Byrd"/>
    <x v="2"/>
    <s v="United States"/>
    <x v="0"/>
    <x v="0"/>
    <x v="0"/>
    <s v="FUR-FU-10001591"/>
    <s v="Furniture"/>
    <x v="3"/>
    <s v="Advantus Panel Wall Certificate Holder - 8.5x11"/>
    <n v="61"/>
    <n v="5"/>
    <n v="25.62"/>
    <x v="3"/>
    <x v="9"/>
  </r>
  <r>
    <x v="561"/>
    <x v="437"/>
    <d v="2017-05-01T00:00:00"/>
    <x v="1"/>
    <s v="CV-12805"/>
    <s v="Cynthia Voltz"/>
    <x v="1"/>
    <s v="United States"/>
    <x v="50"/>
    <x v="5"/>
    <x v="3"/>
    <s v="FUR-BO-10002268"/>
    <s v="Furniture"/>
    <x v="0"/>
    <s v="Sauder Barrister Bookcases"/>
    <n v="220.26560000000001"/>
    <n v="4"/>
    <n v="-42.1096"/>
    <x v="4"/>
    <x v="6"/>
  </r>
  <r>
    <x v="562"/>
    <x v="438"/>
    <d v="2017-04-19T00:00:00"/>
    <x v="1"/>
    <s v="CS-12355"/>
    <s v="Christine Sundaresam"/>
    <x v="0"/>
    <s v="United States"/>
    <x v="13"/>
    <x v="7"/>
    <x v="2"/>
    <s v="FUR-BO-10003441"/>
    <s v="Furniture"/>
    <x v="0"/>
    <s v="Bush Westfield Collection Bookcases, Fully Assembled"/>
    <n v="242.352"/>
    <n v="3"/>
    <n v="9.0882000000000005"/>
    <x v="2"/>
    <x v="6"/>
  </r>
  <r>
    <x v="563"/>
    <x v="313"/>
    <d v="2017-12-27T00:00:00"/>
    <x v="0"/>
    <s v="JG-15310"/>
    <s v="Jason Gross"/>
    <x v="1"/>
    <s v="United States"/>
    <x v="134"/>
    <x v="38"/>
    <x v="2"/>
    <s v="FUR-BO-10003660"/>
    <s v="Furniture"/>
    <x v="0"/>
    <s v="Bush Cubix Collection Bookcases, Fully Assembled"/>
    <n v="220.98"/>
    <n v="1"/>
    <n v="50.825400000000002"/>
    <x v="2"/>
    <x v="5"/>
  </r>
  <r>
    <x v="564"/>
    <x v="427"/>
    <d v="2016-08-30T00:00:00"/>
    <x v="1"/>
    <s v="MS-17770"/>
    <s v="Maxwell Schwartz"/>
    <x v="0"/>
    <s v="United States"/>
    <x v="15"/>
    <x v="13"/>
    <x v="1"/>
    <s v="FUR-CH-10001973"/>
    <s v="Furniture"/>
    <x v="1"/>
    <s v="Office Star Flex Back Scooter Chair with White Frame"/>
    <n v="532.70399999999995"/>
    <n v="6"/>
    <n v="-39.952800000000003"/>
    <x v="1"/>
    <x v="10"/>
  </r>
  <r>
    <x v="565"/>
    <x v="432"/>
    <d v="2015-06-12T00:00:00"/>
    <x v="2"/>
    <s v="JE-15610"/>
    <s v="Jim Epp"/>
    <x v="1"/>
    <s v="United States"/>
    <x v="49"/>
    <x v="1"/>
    <x v="0"/>
    <s v="FUR-CH-10003312"/>
    <s v="Furniture"/>
    <x v="1"/>
    <s v="Hon 2090 ÒPillow SoftÓ Series Mid Back Swivel/Tilt Chairs"/>
    <n v="1123.92"/>
    <n v="5"/>
    <n v="-182.637"/>
    <x v="5"/>
    <x v="2"/>
  </r>
  <r>
    <x v="565"/>
    <x v="432"/>
    <d v="2015-06-12T00:00:00"/>
    <x v="2"/>
    <s v="JE-15610"/>
    <s v="Jim Epp"/>
    <x v="1"/>
    <s v="United States"/>
    <x v="49"/>
    <x v="1"/>
    <x v="0"/>
    <s v="FUR-FU-10003464"/>
    <s v="Furniture"/>
    <x v="3"/>
    <s v="Seth Thomas 8 1/2&quot; Cubicle Clock"/>
    <n v="48.671999999999997"/>
    <n v="3"/>
    <n v="7.3007999999999997"/>
    <x v="5"/>
    <x v="2"/>
  </r>
  <r>
    <x v="566"/>
    <x v="439"/>
    <d v="2014-12-17T00:00:00"/>
    <x v="2"/>
    <s v="CC-12100"/>
    <s v="Chad Cunningham"/>
    <x v="2"/>
    <s v="United States"/>
    <x v="2"/>
    <x v="2"/>
    <x v="1"/>
    <s v="FUR-FU-10004090"/>
    <s v="Furniture"/>
    <x v="3"/>
    <s v="Executive Impressions 14&quot; Contract Wall Clock"/>
    <n v="44.46"/>
    <n v="2"/>
    <n v="14.671799999999999"/>
    <x v="5"/>
    <x v="5"/>
  </r>
  <r>
    <x v="566"/>
    <x v="439"/>
    <d v="2014-12-17T00:00:00"/>
    <x v="2"/>
    <s v="CC-12100"/>
    <s v="Chad Cunningham"/>
    <x v="2"/>
    <s v="United States"/>
    <x v="2"/>
    <x v="2"/>
    <x v="1"/>
    <s v="FUR-CH-10002602"/>
    <s v="Furniture"/>
    <x v="1"/>
    <s v="DMI Arturo Collection Mission-style Design Wood Chair"/>
    <n v="241.56800000000001"/>
    <n v="2"/>
    <n v="18.117599999999999"/>
    <x v="5"/>
    <x v="5"/>
  </r>
  <r>
    <x v="567"/>
    <x v="440"/>
    <d v="2014-08-26T00:00:00"/>
    <x v="2"/>
    <s v="JP-15460"/>
    <s v="Jennifer Patt"/>
    <x v="1"/>
    <s v="United States"/>
    <x v="64"/>
    <x v="7"/>
    <x v="2"/>
    <s v="FUR-FU-10004586"/>
    <s v="Furniture"/>
    <x v="3"/>
    <s v="G.E. Longer-Life Indoor Recessed Floodlight Bulbs"/>
    <n v="13.28"/>
    <n v="2"/>
    <n v="6.3743999999999996"/>
    <x v="3"/>
    <x v="10"/>
  </r>
  <r>
    <x v="568"/>
    <x v="418"/>
    <d v="2017-11-18T00:00:00"/>
    <x v="1"/>
    <s v="LS-16975"/>
    <s v="Lindsay Shagiari"/>
    <x v="2"/>
    <s v="United States"/>
    <x v="144"/>
    <x v="5"/>
    <x v="3"/>
    <s v="FUR-FU-10001756"/>
    <s v="Furniture"/>
    <x v="3"/>
    <s v="Eldon Expressions Desk Accessory, Wood Photo Frame, Mahogany"/>
    <n v="22.847999999999999"/>
    <n v="3"/>
    <n v="-17.7072"/>
    <x v="6"/>
    <x v="0"/>
  </r>
  <r>
    <x v="569"/>
    <x v="26"/>
    <d v="2016-09-11T00:00:00"/>
    <x v="1"/>
    <s v="AR-10825"/>
    <s v="Anthony Rawles"/>
    <x v="1"/>
    <s v="United States"/>
    <x v="198"/>
    <x v="5"/>
    <x v="3"/>
    <s v="FUR-CH-10002647"/>
    <s v="Furniture"/>
    <x v="1"/>
    <s v="Situations Contoured Folding Chairs, 4/Set"/>
    <n v="347.80200000000002"/>
    <n v="7"/>
    <n v="-24.843"/>
    <x v="6"/>
    <x v="4"/>
  </r>
  <r>
    <x v="570"/>
    <x v="441"/>
    <d v="2017-02-13T00:00:00"/>
    <x v="0"/>
    <s v="CS-11845"/>
    <s v="Cari Sayre"/>
    <x v="1"/>
    <s v="United States"/>
    <x v="15"/>
    <x v="13"/>
    <x v="1"/>
    <s v="FUR-CH-10004495"/>
    <s v="Furniture"/>
    <x v="1"/>
    <s v="Global Leather and Oak Executive Chair, Black"/>
    <n v="963.13599999999997"/>
    <n v="4"/>
    <n v="108.3528"/>
    <x v="3"/>
    <x v="11"/>
  </r>
  <r>
    <x v="571"/>
    <x v="442"/>
    <d v="2015-12-18T00:00:00"/>
    <x v="2"/>
    <s v="NF-18385"/>
    <s v="Natalie Fritzler"/>
    <x v="0"/>
    <s v="United States"/>
    <x v="19"/>
    <x v="15"/>
    <x v="2"/>
    <s v="FUR-FU-10004091"/>
    <s v="Furniture"/>
    <x v="3"/>
    <s v="Howard Miller 13&quot; Diameter Goldtone Round Wall Clock"/>
    <n v="262.86399999999998"/>
    <n v="7"/>
    <n v="69.001800000000003"/>
    <x v="0"/>
    <x v="5"/>
  </r>
  <r>
    <x v="572"/>
    <x v="108"/>
    <d v="2015-08-28T00:00:00"/>
    <x v="1"/>
    <s v="EM-13810"/>
    <s v="Eleni McCrary"/>
    <x v="1"/>
    <s v="United States"/>
    <x v="13"/>
    <x v="7"/>
    <x v="2"/>
    <s v="FUR-TA-10001539"/>
    <s v="Furniture"/>
    <x v="2"/>
    <s v="Chromcraft Rectangular Conference Tables"/>
    <n v="284.36399999999998"/>
    <n v="2"/>
    <n v="-75.830399999999997"/>
    <x v="4"/>
    <x v="10"/>
  </r>
  <r>
    <x v="573"/>
    <x v="443"/>
    <d v="2016-10-31T00:00:00"/>
    <x v="2"/>
    <s v="KW-16435"/>
    <s v="Katrina Willman"/>
    <x v="0"/>
    <s v="United States"/>
    <x v="140"/>
    <x v="17"/>
    <x v="3"/>
    <s v="FUR-FU-10002671"/>
    <s v="Furniture"/>
    <x v="3"/>
    <s v="Electrix 20W Halogen Replacement Bulb for Zoom-In Desk Lamp"/>
    <n v="67"/>
    <n v="5"/>
    <n v="32.159999999999997"/>
    <x v="3"/>
    <x v="1"/>
  </r>
  <r>
    <x v="574"/>
    <x v="444"/>
    <d v="2016-06-03T00:00:00"/>
    <x v="1"/>
    <s v="KC-16675"/>
    <s v="Kimberly Carter"/>
    <x v="1"/>
    <s v="United States"/>
    <x v="199"/>
    <x v="1"/>
    <x v="0"/>
    <s v="FUR-CH-10003833"/>
    <s v="Furniture"/>
    <x v="1"/>
    <s v="Novimex Fabric Task Chair"/>
    <n v="390.27199999999999"/>
    <n v="8"/>
    <n v="-24.391999999999999"/>
    <x v="6"/>
    <x v="7"/>
  </r>
  <r>
    <x v="575"/>
    <x v="445"/>
    <d v="2016-03-28T00:00:00"/>
    <x v="1"/>
    <s v="KT-16465"/>
    <s v="Kean Takahito"/>
    <x v="0"/>
    <s v="United States"/>
    <x v="9"/>
    <x v="8"/>
    <x v="3"/>
    <s v="FUR-CH-10000665"/>
    <s v="Furniture"/>
    <x v="1"/>
    <s v="Global Airflow Leather Mesh Back Chair, Black"/>
    <n v="528.42999999999995"/>
    <n v="5"/>
    <n v="0"/>
    <x v="1"/>
    <x v="9"/>
  </r>
  <r>
    <x v="576"/>
    <x v="204"/>
    <d v="2017-09-29T00:00:00"/>
    <x v="1"/>
    <s v="AP-10915"/>
    <s v="Arthur Prichep"/>
    <x v="0"/>
    <s v="United States"/>
    <x v="200"/>
    <x v="12"/>
    <x v="1"/>
    <s v="FUR-BO-10001811"/>
    <s v="Furniture"/>
    <x v="0"/>
    <s v="Atlantic Metals Mobile 5-Shelf Bookcases, Custom Colors"/>
    <n v="180.58799999999999"/>
    <n v="2"/>
    <n v="-240.78399999999999"/>
    <x v="6"/>
    <x v="4"/>
  </r>
  <r>
    <x v="577"/>
    <x v="446"/>
    <d v="2017-12-11T00:00:00"/>
    <x v="1"/>
    <s v="SM-20950"/>
    <s v="Suzanne McNair"/>
    <x v="1"/>
    <s v="United States"/>
    <x v="13"/>
    <x v="7"/>
    <x v="2"/>
    <s v="FUR-FU-10001487"/>
    <s v="Furniture"/>
    <x v="3"/>
    <s v="Eldon Expressions Wood and Plastic Desk Accessories, Cherry Wood"/>
    <n v="20.94"/>
    <n v="3"/>
    <n v="6.0726000000000004"/>
    <x v="6"/>
    <x v="5"/>
  </r>
  <r>
    <x v="577"/>
    <x v="446"/>
    <d v="2017-12-11T00:00:00"/>
    <x v="1"/>
    <s v="SM-20950"/>
    <s v="Suzanne McNair"/>
    <x v="1"/>
    <s v="United States"/>
    <x v="13"/>
    <x v="7"/>
    <x v="2"/>
    <s v="FUR-FU-10000521"/>
    <s v="Furniture"/>
    <x v="3"/>
    <s v="Seth Thomas 14&quot; Putty-Colored Wall Clock"/>
    <n v="58.68"/>
    <n v="2"/>
    <n v="18.190799999999999"/>
    <x v="6"/>
    <x v="5"/>
  </r>
  <r>
    <x v="578"/>
    <x v="447"/>
    <d v="2014-05-20T00:00:00"/>
    <x v="0"/>
    <s v="TT-21070"/>
    <s v="Ted Trevino"/>
    <x v="0"/>
    <s v="United States"/>
    <x v="40"/>
    <x v="15"/>
    <x v="2"/>
    <s v="FUR-FU-10000308"/>
    <s v="Furniture"/>
    <x v="3"/>
    <s v="Deflect-o Glass Clear Studded Chair Mats"/>
    <n v="149.232"/>
    <n v="3"/>
    <n v="3.7307999999999999"/>
    <x v="3"/>
    <x v="7"/>
  </r>
  <r>
    <x v="579"/>
    <x v="448"/>
    <d v="2014-11-16T00:00:00"/>
    <x v="1"/>
    <s v="RD-19900"/>
    <s v="Ruben Dartt"/>
    <x v="0"/>
    <s v="United States"/>
    <x v="53"/>
    <x v="2"/>
    <x v="1"/>
    <s v="FUR-FU-10000397"/>
    <s v="Furniture"/>
    <x v="3"/>
    <s v="Luxo Economy Swing Arm Lamp"/>
    <n v="39.880000000000003"/>
    <n v="2"/>
    <n v="11.166399999999999"/>
    <x v="6"/>
    <x v="0"/>
  </r>
  <r>
    <x v="579"/>
    <x v="448"/>
    <d v="2014-11-16T00:00:00"/>
    <x v="1"/>
    <s v="RD-19900"/>
    <s v="Ruben Dartt"/>
    <x v="0"/>
    <s v="United States"/>
    <x v="53"/>
    <x v="2"/>
    <x v="1"/>
    <s v="FUR-FU-10001867"/>
    <s v="Furniture"/>
    <x v="3"/>
    <s v="Eldon Expressions Punched Metal &amp; Wood Desk Accessories, Pewter &amp; Cherry"/>
    <n v="53.2"/>
    <n v="5"/>
    <n v="14.896000000000001"/>
    <x v="6"/>
    <x v="0"/>
  </r>
  <r>
    <x v="580"/>
    <x v="449"/>
    <d v="2017-09-05T00:00:00"/>
    <x v="0"/>
    <s v="BN-11515"/>
    <s v="Bradley Nguyen"/>
    <x v="0"/>
    <s v="United States"/>
    <x v="13"/>
    <x v="7"/>
    <x v="2"/>
    <s v="FUR-FU-10004960"/>
    <s v="Furniture"/>
    <x v="3"/>
    <s v="Seth Thomas 12&quot; Clock w/ Goldtone Case"/>
    <n v="114.9"/>
    <n v="5"/>
    <n v="39.066000000000003"/>
    <x v="4"/>
    <x v="4"/>
  </r>
  <r>
    <x v="581"/>
    <x v="450"/>
    <d v="2016-01-15T00:00:00"/>
    <x v="3"/>
    <s v="RC-19825"/>
    <s v="Roy Collins"/>
    <x v="0"/>
    <s v="United States"/>
    <x v="130"/>
    <x v="19"/>
    <x v="2"/>
    <s v="FUR-TA-10002903"/>
    <s v="Furniture"/>
    <x v="2"/>
    <s v="Bevis Round Bullnose 29&quot; High Table Top"/>
    <n v="181.797"/>
    <n v="1"/>
    <n v="-15.582599999999999"/>
    <x v="7"/>
    <x v="8"/>
  </r>
  <r>
    <x v="582"/>
    <x v="47"/>
    <d v="2016-11-27T00:00:00"/>
    <x v="1"/>
    <s v="DW-13195"/>
    <s v="David Wiener"/>
    <x v="1"/>
    <s v="United States"/>
    <x v="6"/>
    <x v="5"/>
    <x v="3"/>
    <s v="FUR-CH-10003774"/>
    <s v="Furniture"/>
    <x v="1"/>
    <s v="Global Wood Trimmed Manager's Task Chair, Khaki"/>
    <n v="318.43"/>
    <n v="5"/>
    <n v="-77.332999999999998"/>
    <x v="1"/>
    <x v="0"/>
  </r>
  <r>
    <x v="582"/>
    <x v="47"/>
    <d v="2016-11-27T00:00:00"/>
    <x v="1"/>
    <s v="DW-13195"/>
    <s v="David Wiener"/>
    <x v="1"/>
    <s v="United States"/>
    <x v="6"/>
    <x v="5"/>
    <x v="3"/>
    <s v="FUR-FU-10000023"/>
    <s v="Furniture"/>
    <x v="3"/>
    <s v="Eldon Wave Desk Accessories"/>
    <n v="7.0679999999999996"/>
    <n v="3"/>
    <n v="-2.8271999999999999"/>
    <x v="1"/>
    <x v="0"/>
  </r>
  <r>
    <x v="583"/>
    <x v="451"/>
    <d v="2017-12-05T00:00:00"/>
    <x v="1"/>
    <s v="SJ-20215"/>
    <s v="Sarah Jordon"/>
    <x v="0"/>
    <s v="United States"/>
    <x v="141"/>
    <x v="5"/>
    <x v="3"/>
    <s v="FUR-CH-10002602"/>
    <s v="Furniture"/>
    <x v="1"/>
    <s v="DMI Arturo Collection Mission-style Design Wood Chair"/>
    <n v="317.05799999999999"/>
    <n v="3"/>
    <n v="-18.117599999999999"/>
    <x v="4"/>
    <x v="5"/>
  </r>
  <r>
    <x v="584"/>
    <x v="334"/>
    <d v="2016-09-21T00:00:00"/>
    <x v="1"/>
    <s v="SJ-20125"/>
    <s v="Sanjit Jacobs"/>
    <x v="2"/>
    <s v="United States"/>
    <x v="15"/>
    <x v="13"/>
    <x v="1"/>
    <s v="FUR-CH-10004875"/>
    <s v="Furniture"/>
    <x v="1"/>
    <s v="Harbour Creations 67200 Series Stacking Chairs"/>
    <n v="113.88800000000001"/>
    <n v="2"/>
    <n v="9.9651999999999994"/>
    <x v="4"/>
    <x v="4"/>
  </r>
  <r>
    <x v="585"/>
    <x v="452"/>
    <d v="2017-04-19T00:00:00"/>
    <x v="2"/>
    <s v="BG-11740"/>
    <s v="Bruce Geld"/>
    <x v="0"/>
    <s v="United States"/>
    <x v="3"/>
    <x v="3"/>
    <x v="2"/>
    <s v="FUR-FU-10001473"/>
    <s v="Furniture"/>
    <x v="3"/>
    <s v="Eldon Executive Woodline II Desk Accessories, Mahogany"/>
    <n v="60.311999999999998"/>
    <n v="3"/>
    <n v="5.2773000000000003"/>
    <x v="3"/>
    <x v="6"/>
  </r>
  <r>
    <x v="586"/>
    <x v="453"/>
    <d v="2016-12-14T00:00:00"/>
    <x v="0"/>
    <s v="DK-12835"/>
    <s v="Damala Kotsonis"/>
    <x v="1"/>
    <s v="United States"/>
    <x v="20"/>
    <x v="9"/>
    <x v="0"/>
    <s v="FUR-TA-10001676"/>
    <s v="Furniture"/>
    <x v="2"/>
    <s v="Hon 61000 Series Interactive Training Tables"/>
    <n v="79.974000000000004"/>
    <n v="3"/>
    <n v="-29.323799999999999"/>
    <x v="2"/>
    <x v="5"/>
  </r>
  <r>
    <x v="587"/>
    <x v="289"/>
    <d v="2015-02-16T00:00:00"/>
    <x v="1"/>
    <s v="SJ-20215"/>
    <s v="Sarah Jordon"/>
    <x v="0"/>
    <s v="United States"/>
    <x v="2"/>
    <x v="2"/>
    <x v="1"/>
    <s v="FUR-CH-10002774"/>
    <s v="Furniture"/>
    <x v="1"/>
    <s v="Global Deluxe Stacking Chair, Gray"/>
    <n v="203.92"/>
    <n v="5"/>
    <n v="22.940999999999999"/>
    <x v="1"/>
    <x v="11"/>
  </r>
  <r>
    <x v="588"/>
    <x v="454"/>
    <d v="2014-10-06T00:00:00"/>
    <x v="1"/>
    <s v="MH-17785"/>
    <s v="Maya Herman"/>
    <x v="1"/>
    <s v="United States"/>
    <x v="13"/>
    <x v="7"/>
    <x v="2"/>
    <s v="FUR-FU-10000221"/>
    <s v="Furniture"/>
    <x v="3"/>
    <s v="Master Caster Door Stop, Brown"/>
    <n v="15.24"/>
    <n v="3"/>
    <n v="5.1816000000000004"/>
    <x v="6"/>
    <x v="4"/>
  </r>
  <r>
    <x v="589"/>
    <x v="22"/>
    <d v="2014-12-30T00:00:00"/>
    <x v="1"/>
    <s v="CK-12595"/>
    <s v="Clytie Kelty"/>
    <x v="0"/>
    <s v="United States"/>
    <x v="53"/>
    <x v="2"/>
    <x v="1"/>
    <s v="FUR-FU-10001852"/>
    <s v="Furniture"/>
    <x v="3"/>
    <s v="Eldon Regeneration Recycled Desk Accessories, Smoke"/>
    <n v="3.48"/>
    <n v="2"/>
    <n v="1.1135999999999999"/>
    <x v="4"/>
    <x v="5"/>
  </r>
  <r>
    <x v="590"/>
    <x v="356"/>
    <d v="2014-11-22T00:00:00"/>
    <x v="1"/>
    <s v="CS-11950"/>
    <s v="Carlos Soltero"/>
    <x v="0"/>
    <s v="United States"/>
    <x v="3"/>
    <x v="3"/>
    <x v="2"/>
    <s v="FUR-FU-10001473"/>
    <s v="Furniture"/>
    <x v="3"/>
    <s v="Eldon Executive Woodline II Desk Accessories, Mahogany"/>
    <n v="60.311999999999998"/>
    <n v="3"/>
    <n v="5.2773000000000003"/>
    <x v="4"/>
    <x v="0"/>
  </r>
  <r>
    <x v="591"/>
    <x v="174"/>
    <d v="2016-03-25T00:00:00"/>
    <x v="0"/>
    <s v="AH-10030"/>
    <s v="Aaron Hawkins"/>
    <x v="1"/>
    <s v="United States"/>
    <x v="201"/>
    <x v="21"/>
    <x v="0"/>
    <s v="FUR-FU-10003691"/>
    <s v="Furniture"/>
    <x v="3"/>
    <s v="Eldon Image Series Desk Accessories, Ebony"/>
    <n v="86.45"/>
    <n v="7"/>
    <n v="38.037999999999997"/>
    <x v="2"/>
    <x v="9"/>
  </r>
  <r>
    <x v="592"/>
    <x v="52"/>
    <d v="2014-10-01T00:00:00"/>
    <x v="1"/>
    <s v="TH-21100"/>
    <s v="Thea Hendricks"/>
    <x v="0"/>
    <s v="United States"/>
    <x v="53"/>
    <x v="2"/>
    <x v="1"/>
    <s v="FUR-CH-10002602"/>
    <s v="Furniture"/>
    <x v="1"/>
    <s v="DMI Arturo Collection Mission-style Design Wood Chair"/>
    <n v="603.91999999999996"/>
    <n v="5"/>
    <n v="45.293999999999997"/>
    <x v="4"/>
    <x v="4"/>
  </r>
  <r>
    <x v="593"/>
    <x v="455"/>
    <d v="2017-12-28T00:00:00"/>
    <x v="1"/>
    <s v="HG-15025"/>
    <s v="Hunter Glantz"/>
    <x v="0"/>
    <s v="United States"/>
    <x v="64"/>
    <x v="7"/>
    <x v="2"/>
    <s v="FUR-CH-10002602"/>
    <s v="Furniture"/>
    <x v="1"/>
    <s v="DMI Arturo Collection Mission-style Design Wood Chair"/>
    <n v="271.76400000000001"/>
    <n v="2"/>
    <n v="48.313600000000001"/>
    <x v="4"/>
    <x v="5"/>
  </r>
  <r>
    <x v="594"/>
    <x v="219"/>
    <d v="2017-11-15T00:00:00"/>
    <x v="0"/>
    <s v="EB-13750"/>
    <s v="Edward Becker"/>
    <x v="1"/>
    <s v="United States"/>
    <x v="82"/>
    <x v="5"/>
    <x v="3"/>
    <s v="FUR-FU-10001468"/>
    <s v="Furniture"/>
    <x v="3"/>
    <s v="Tenex Antistatic Computer Chair Mats"/>
    <n v="341.96"/>
    <n v="5"/>
    <n v="-427.45"/>
    <x v="2"/>
    <x v="0"/>
  </r>
  <r>
    <x v="595"/>
    <x v="191"/>
    <d v="2014-12-25T00:00:00"/>
    <x v="1"/>
    <s v="TS-21505"/>
    <s v="Tony Sayre"/>
    <x v="0"/>
    <s v="United States"/>
    <x v="11"/>
    <x v="9"/>
    <x v="0"/>
    <s v="FUR-CH-10004287"/>
    <s v="Furniture"/>
    <x v="1"/>
    <s v="SAFCO Arco Folding Chair"/>
    <n v="662.88"/>
    <n v="3"/>
    <n v="74.573999999999998"/>
    <x v="2"/>
    <x v="5"/>
  </r>
  <r>
    <x v="596"/>
    <x v="456"/>
    <d v="2015-07-27T00:00:00"/>
    <x v="1"/>
    <s v="TH-21550"/>
    <s v="Tracy Hopkins"/>
    <x v="2"/>
    <s v="United States"/>
    <x v="13"/>
    <x v="7"/>
    <x v="2"/>
    <s v="FUR-FU-10002253"/>
    <s v="Furniture"/>
    <x v="3"/>
    <s v="Howard Miller 13&quot; Diameter Pewter Finish Round Wall Clock"/>
    <n v="128.82"/>
    <n v="3"/>
    <n v="50.239800000000002"/>
    <x v="4"/>
    <x v="3"/>
  </r>
  <r>
    <x v="597"/>
    <x v="417"/>
    <d v="2017-12-20T00:00:00"/>
    <x v="1"/>
    <s v="GM-14455"/>
    <s v="Gary Mitchum"/>
    <x v="2"/>
    <s v="United States"/>
    <x v="9"/>
    <x v="8"/>
    <x v="3"/>
    <s v="FUR-FU-10002963"/>
    <s v="Furniture"/>
    <x v="3"/>
    <s v="Master Caster Door Stop, Gray"/>
    <n v="2.032"/>
    <n v="1"/>
    <n v="-1.3208"/>
    <x v="6"/>
    <x v="5"/>
  </r>
  <r>
    <x v="598"/>
    <x v="67"/>
    <d v="2017-08-22T00:00:00"/>
    <x v="2"/>
    <s v="PR-18880"/>
    <s v="Patrick Ryan"/>
    <x v="0"/>
    <s v="United States"/>
    <x v="121"/>
    <x v="2"/>
    <x v="1"/>
    <s v="FUR-FU-10000193"/>
    <s v="Furniture"/>
    <x v="3"/>
    <s v="Tenex Chairmats For Use with Hard Floors"/>
    <n v="129.91999999999999"/>
    <n v="4"/>
    <n v="10.393599999999999"/>
    <x v="5"/>
    <x v="10"/>
  </r>
  <r>
    <x v="598"/>
    <x v="67"/>
    <d v="2017-08-22T00:00:00"/>
    <x v="2"/>
    <s v="PR-18880"/>
    <s v="Patrick Ryan"/>
    <x v="0"/>
    <s v="United States"/>
    <x v="121"/>
    <x v="2"/>
    <x v="1"/>
    <s v="FUR-TA-10001539"/>
    <s v="Furniture"/>
    <x v="2"/>
    <s v="Chromcraft Rectangular Conference Tables"/>
    <n v="568.72799999999995"/>
    <n v="3"/>
    <n v="28.436399999999999"/>
    <x v="5"/>
    <x v="10"/>
  </r>
  <r>
    <x v="599"/>
    <x v="457"/>
    <d v="2016-09-01T00:00:00"/>
    <x v="0"/>
    <s v="TB-21055"/>
    <s v="Ted Butterfield"/>
    <x v="0"/>
    <s v="United States"/>
    <x v="202"/>
    <x v="20"/>
    <x v="2"/>
    <s v="FUR-TA-10001307"/>
    <s v="Furniture"/>
    <x v="2"/>
    <s v="SAFCO PlanMaster Heigh-Adjustable Drafting Table Base, 43w x 30d x 30-37h, Black"/>
    <n v="244.61500000000001"/>
    <n v="1"/>
    <n v="20.966999999999999"/>
    <x v="2"/>
    <x v="10"/>
  </r>
  <r>
    <x v="600"/>
    <x v="458"/>
    <d v="2014-09-28T00:00:00"/>
    <x v="1"/>
    <s v="BM-11650"/>
    <s v="Brian Moss"/>
    <x v="1"/>
    <s v="United States"/>
    <x v="53"/>
    <x v="2"/>
    <x v="1"/>
    <s v="FUR-BO-10002916"/>
    <s v="Furniture"/>
    <x v="0"/>
    <s v="Rush Hierlooms Collection 1&quot; Thick Stackable Bookcases"/>
    <n v="435.99900000000002"/>
    <n v="3"/>
    <n v="20.517600000000002"/>
    <x v="2"/>
    <x v="4"/>
  </r>
  <r>
    <x v="601"/>
    <x v="459"/>
    <d v="2014-07-24T00:00:00"/>
    <x v="1"/>
    <s v="CA-12310"/>
    <s v="Christine Abelman"/>
    <x v="1"/>
    <s v="United States"/>
    <x v="203"/>
    <x v="19"/>
    <x v="2"/>
    <s v="FUR-TA-10004152"/>
    <s v="Furniture"/>
    <x v="2"/>
    <s v="Barricks 18&quot; x 48&quot; Non-Folding Utility Table with Bottom Storage Shelf"/>
    <n v="70.56"/>
    <n v="1"/>
    <n v="-4.032"/>
    <x v="2"/>
    <x v="3"/>
  </r>
  <r>
    <x v="602"/>
    <x v="460"/>
    <d v="2015-06-08T00:00:00"/>
    <x v="0"/>
    <s v="TC-21535"/>
    <s v="Tracy Collins"/>
    <x v="2"/>
    <s v="United States"/>
    <x v="13"/>
    <x v="7"/>
    <x v="2"/>
    <s v="FUR-FU-10000672"/>
    <s v="Furniture"/>
    <x v="3"/>
    <s v="Executive Impressions 10&quot; Spectator Wall Clock"/>
    <n v="35.28"/>
    <n v="3"/>
    <n v="11.995200000000001"/>
    <x v="4"/>
    <x v="2"/>
  </r>
  <r>
    <x v="603"/>
    <x v="461"/>
    <d v="2016-07-18T00:00:00"/>
    <x v="0"/>
    <s v="MC-17425"/>
    <s v="Mark Cousins"/>
    <x v="1"/>
    <s v="United States"/>
    <x v="6"/>
    <x v="5"/>
    <x v="3"/>
    <s v="FUR-FU-10001940"/>
    <s v="Furniture"/>
    <x v="3"/>
    <s v="Staple-based wall hangings"/>
    <n v="9.5519999999999996"/>
    <n v="3"/>
    <n v="-3.8208000000000002"/>
    <x v="3"/>
    <x v="3"/>
  </r>
  <r>
    <x v="604"/>
    <x v="462"/>
    <d v="2014-02-02T00:00:00"/>
    <x v="2"/>
    <s v="LC-17050"/>
    <s v="Liz Carlisle"/>
    <x v="0"/>
    <s v="United States"/>
    <x v="204"/>
    <x v="2"/>
    <x v="1"/>
    <s v="FUR-BO-10003966"/>
    <s v="Furniture"/>
    <x v="0"/>
    <s v="Sauder Facets Collection Library, Sky Alder Finish"/>
    <n v="290.666"/>
    <n v="2"/>
    <n v="3.4196"/>
    <x v="3"/>
    <x v="8"/>
  </r>
  <r>
    <x v="605"/>
    <x v="32"/>
    <d v="2015-11-25T00:00:00"/>
    <x v="1"/>
    <s v="NW-18400"/>
    <s v="Natalie Webber"/>
    <x v="0"/>
    <s v="United States"/>
    <x v="205"/>
    <x v="34"/>
    <x v="1"/>
    <s v="FUR-BO-10002598"/>
    <s v="Furniture"/>
    <x v="0"/>
    <s v="Hon Metal Bookcases, Putty"/>
    <n v="141.96"/>
    <n v="2"/>
    <n v="41.168399999999998"/>
    <x v="4"/>
    <x v="0"/>
  </r>
  <r>
    <x v="606"/>
    <x v="463"/>
    <d v="2015-12-10T00:00:00"/>
    <x v="1"/>
    <s v="SO-20335"/>
    <s v="Sean O'Donnell"/>
    <x v="0"/>
    <s v="United States"/>
    <x v="206"/>
    <x v="7"/>
    <x v="2"/>
    <s v="FUR-FU-10002445"/>
    <s v="Furniture"/>
    <x v="3"/>
    <s v="DAX Two-Tone Rosewood/Black Document Frame, Desktop, 5 x 7"/>
    <n v="28.44"/>
    <n v="3"/>
    <n v="11.375999999999999"/>
    <x v="6"/>
    <x v="5"/>
  </r>
  <r>
    <x v="606"/>
    <x v="463"/>
    <d v="2015-12-10T00:00:00"/>
    <x v="1"/>
    <s v="SO-20335"/>
    <s v="Sean O'Donnell"/>
    <x v="0"/>
    <s v="United States"/>
    <x v="206"/>
    <x v="7"/>
    <x v="2"/>
    <s v="FUR-CH-10002372"/>
    <s v="Furniture"/>
    <x v="1"/>
    <s v="Office Star - Ergonomically Designed Knee Chair"/>
    <n v="364.41"/>
    <n v="5"/>
    <n v="8.0980000000000008"/>
    <x v="6"/>
    <x v="5"/>
  </r>
  <r>
    <x v="606"/>
    <x v="463"/>
    <d v="2015-12-10T00:00:00"/>
    <x v="1"/>
    <s v="SO-20335"/>
    <s v="Sean O'Donnell"/>
    <x v="0"/>
    <s v="United States"/>
    <x v="206"/>
    <x v="7"/>
    <x v="2"/>
    <s v="FUR-CH-10002965"/>
    <s v="Furniture"/>
    <x v="1"/>
    <s v="Global Leather Highback Executive Chair with Pneumatic Height Adjustment, Black"/>
    <n v="361.76400000000001"/>
    <n v="2"/>
    <n v="68.333200000000005"/>
    <x v="6"/>
    <x v="5"/>
  </r>
  <r>
    <x v="607"/>
    <x v="68"/>
    <d v="2017-11-24T00:00:00"/>
    <x v="2"/>
    <s v="TD-20995"/>
    <s v="Tamara Dahlen"/>
    <x v="0"/>
    <s v="United States"/>
    <x v="3"/>
    <x v="3"/>
    <x v="2"/>
    <s v="FUR-FU-10000320"/>
    <s v="Furniture"/>
    <x v="3"/>
    <s v="OIC Stacking Trays"/>
    <n v="24.047999999999998"/>
    <n v="9"/>
    <n v="7.2144000000000004"/>
    <x v="5"/>
    <x v="0"/>
  </r>
  <r>
    <x v="608"/>
    <x v="463"/>
    <d v="2015-12-09T00:00:00"/>
    <x v="0"/>
    <s v="MS-17365"/>
    <s v="Maribeth Schnelling"/>
    <x v="0"/>
    <s v="United States"/>
    <x v="13"/>
    <x v="7"/>
    <x v="2"/>
    <s v="FUR-CH-10003535"/>
    <s v="Furniture"/>
    <x v="1"/>
    <s v="Global Armless Task Chair, Royal Blue"/>
    <n v="384.17399999999998"/>
    <n v="7"/>
    <n v="29.880199999999999"/>
    <x v="2"/>
    <x v="5"/>
  </r>
  <r>
    <x v="609"/>
    <x v="273"/>
    <d v="2017-10-11T00:00:00"/>
    <x v="1"/>
    <s v="Dp-13240"/>
    <s v="Dean percer"/>
    <x v="2"/>
    <s v="United States"/>
    <x v="127"/>
    <x v="30"/>
    <x v="0"/>
    <s v="FUR-TA-10001039"/>
    <s v="Furniture"/>
    <x v="2"/>
    <s v="KI Adjustable-Height Table"/>
    <n v="154.76400000000001"/>
    <n v="3"/>
    <n v="-36.111600000000003"/>
    <x v="4"/>
    <x v="1"/>
  </r>
  <r>
    <x v="610"/>
    <x v="50"/>
    <d v="2015-05-05T00:00:00"/>
    <x v="2"/>
    <s v="LA-16780"/>
    <s v="Laura Armstrong"/>
    <x v="1"/>
    <s v="United States"/>
    <x v="207"/>
    <x v="8"/>
    <x v="3"/>
    <s v="FUR-FU-10001940"/>
    <s v="Furniture"/>
    <x v="3"/>
    <s v="Staple-based wall hangings"/>
    <n v="22.288"/>
    <n v="7"/>
    <n v="-8.9152000000000005"/>
    <x v="5"/>
    <x v="7"/>
  </r>
  <r>
    <x v="611"/>
    <x v="464"/>
    <d v="2017-06-05T00:00:00"/>
    <x v="1"/>
    <s v="HZ-14950"/>
    <s v="Henia Zydlo"/>
    <x v="0"/>
    <s v="United States"/>
    <x v="6"/>
    <x v="5"/>
    <x v="3"/>
    <s v="FUR-FU-10003919"/>
    <s v="Furniture"/>
    <x v="3"/>
    <s v="Eldon Executive Woodline II Cherry Finish Desk Accessories"/>
    <n v="65.424000000000007"/>
    <n v="4"/>
    <n v="-52.339199999999998"/>
    <x v="1"/>
    <x v="7"/>
  </r>
  <r>
    <x v="612"/>
    <x v="465"/>
    <d v="2014-04-27T00:00:00"/>
    <x v="1"/>
    <s v="LB-16795"/>
    <s v="Laurel Beltran"/>
    <x v="2"/>
    <s v="United States"/>
    <x v="29"/>
    <x v="15"/>
    <x v="2"/>
    <s v="FUR-CH-10002965"/>
    <s v="Furniture"/>
    <x v="1"/>
    <s v="Global Leather Highback Executive Chair with Pneumatic Height Adjustment, Black"/>
    <n v="281.37200000000001"/>
    <n v="2"/>
    <n v="-12.0588"/>
    <x v="4"/>
    <x v="6"/>
  </r>
  <r>
    <x v="612"/>
    <x v="465"/>
    <d v="2014-04-27T00:00:00"/>
    <x v="1"/>
    <s v="LB-16795"/>
    <s v="Laurel Beltran"/>
    <x v="2"/>
    <s v="United States"/>
    <x v="29"/>
    <x v="15"/>
    <x v="2"/>
    <s v="FUR-CH-10002965"/>
    <s v="Furniture"/>
    <x v="1"/>
    <s v="Global Leather Highback Executive Chair with Pneumatic Height Adjustment, Black"/>
    <n v="281.37200000000001"/>
    <n v="2"/>
    <n v="-12.0588"/>
    <x v="4"/>
    <x v="6"/>
  </r>
  <r>
    <x v="612"/>
    <x v="465"/>
    <d v="2014-04-27T00:00:00"/>
    <x v="1"/>
    <s v="LB-16795"/>
    <s v="Laurel Beltran"/>
    <x v="2"/>
    <s v="United States"/>
    <x v="29"/>
    <x v="15"/>
    <x v="2"/>
    <s v="FUR-FU-10002191"/>
    <s v="Furniture"/>
    <x v="3"/>
    <s v="G.E. Halogen Desk Lamp Bulbs"/>
    <n v="22.335999999999999"/>
    <n v="4"/>
    <n v="7.8175999999999997"/>
    <x v="4"/>
    <x v="6"/>
  </r>
  <r>
    <x v="613"/>
    <x v="329"/>
    <d v="2015-09-13T00:00:00"/>
    <x v="1"/>
    <s v="CC-12430"/>
    <s v="Chuck Clark"/>
    <x v="2"/>
    <s v="United States"/>
    <x v="13"/>
    <x v="7"/>
    <x v="2"/>
    <s v="FUR-CH-10000665"/>
    <s v="Furniture"/>
    <x v="1"/>
    <s v="Global Airflow Leather Mesh Back Chair, Black"/>
    <n v="271.76400000000001"/>
    <n v="2"/>
    <n v="60.392000000000003"/>
    <x v="1"/>
    <x v="4"/>
  </r>
  <r>
    <x v="614"/>
    <x v="262"/>
    <d v="2015-09-28T00:00:00"/>
    <x v="1"/>
    <s v="DE-13255"/>
    <s v="Deanra Eno"/>
    <x v="2"/>
    <s v="United States"/>
    <x v="208"/>
    <x v="26"/>
    <x v="3"/>
    <s v="FUR-CH-10000988"/>
    <s v="Furniture"/>
    <x v="1"/>
    <s v="Hon Olson Stacker Stools"/>
    <n v="1408.1"/>
    <n v="10"/>
    <n v="394.26799999999997"/>
    <x v="4"/>
    <x v="4"/>
  </r>
  <r>
    <x v="615"/>
    <x v="209"/>
    <d v="2017-07-06T00:00:00"/>
    <x v="0"/>
    <s v="SZ-20035"/>
    <s v="Sam Zeldin"/>
    <x v="2"/>
    <s v="United States"/>
    <x v="68"/>
    <x v="15"/>
    <x v="2"/>
    <s v="FUR-TA-10002041"/>
    <s v="Furniture"/>
    <x v="2"/>
    <s v="Bevis Round Conference Table Top, X-Base"/>
    <n v="215.148"/>
    <n v="2"/>
    <n v="-103.98820000000001"/>
    <x v="0"/>
    <x v="3"/>
  </r>
  <r>
    <x v="616"/>
    <x v="64"/>
    <d v="2017-12-09T00:00:00"/>
    <x v="2"/>
    <s v="LF-17185"/>
    <s v="Luke Foster"/>
    <x v="0"/>
    <s v="United States"/>
    <x v="209"/>
    <x v="2"/>
    <x v="1"/>
    <s v="FUR-FU-10002703"/>
    <s v="Furniture"/>
    <x v="3"/>
    <s v="Tenex Traditional Chairmats for Hard Floors, Average Lip, 36&quot; x 48&quot;"/>
    <n v="128.9"/>
    <n v="2"/>
    <n v="15.468"/>
    <x v="5"/>
    <x v="5"/>
  </r>
  <r>
    <x v="617"/>
    <x v="466"/>
    <d v="2015-09-29T00:00:00"/>
    <x v="2"/>
    <s v="NM-18520"/>
    <s v="Neoma Murray"/>
    <x v="0"/>
    <s v="United States"/>
    <x v="9"/>
    <x v="8"/>
    <x v="3"/>
    <s v="FUR-FU-10003849"/>
    <s v="Furniture"/>
    <x v="3"/>
    <s v="DAX Metal Frame, Desktop, Stepped-Edge"/>
    <n v="24.288"/>
    <n v="3"/>
    <n v="-12.751200000000001"/>
    <x v="3"/>
    <x v="4"/>
  </r>
  <r>
    <x v="618"/>
    <x v="242"/>
    <d v="2017-10-30T00:00:00"/>
    <x v="3"/>
    <s v="RA-19945"/>
    <s v="Ryan Akin"/>
    <x v="0"/>
    <s v="United States"/>
    <x v="144"/>
    <x v="5"/>
    <x v="3"/>
    <s v="FUR-FU-10003849"/>
    <s v="Furniture"/>
    <x v="3"/>
    <s v="DAX Metal Frame, Desktop, Stepped-Edge"/>
    <n v="16.192"/>
    <n v="2"/>
    <n v="-8.5007999999999999"/>
    <x v="7"/>
    <x v="1"/>
  </r>
  <r>
    <x v="618"/>
    <x v="242"/>
    <d v="2017-10-30T00:00:00"/>
    <x v="3"/>
    <s v="RA-19945"/>
    <s v="Ryan Akin"/>
    <x v="0"/>
    <s v="United States"/>
    <x v="144"/>
    <x v="5"/>
    <x v="3"/>
    <s v="FUR-TA-10002041"/>
    <s v="Furniture"/>
    <x v="2"/>
    <s v="Bevis Round Conference Table Top, X-Base"/>
    <n v="251.006"/>
    <n v="2"/>
    <n v="-68.130200000000002"/>
    <x v="7"/>
    <x v="1"/>
  </r>
  <r>
    <x v="619"/>
    <x v="467"/>
    <d v="2017-09-18T00:00:00"/>
    <x v="2"/>
    <s v="AS-10090"/>
    <s v="Adam Shillingsburg"/>
    <x v="0"/>
    <s v="United States"/>
    <x v="3"/>
    <x v="3"/>
    <x v="2"/>
    <s v="FUR-FU-10003832"/>
    <s v="Furniture"/>
    <x v="3"/>
    <s v="Eldon Expressions Punched Metal &amp; Wood Desk Accessories, Black &amp; Cherry"/>
    <n v="22.512"/>
    <n v="3"/>
    <n v="2.2511999999999999"/>
    <x v="3"/>
    <x v="4"/>
  </r>
  <r>
    <x v="620"/>
    <x v="468"/>
    <d v="2015-09-14T00:00:00"/>
    <x v="1"/>
    <s v="EH-13765"/>
    <s v="Edward Hooks"/>
    <x v="1"/>
    <s v="United States"/>
    <x v="210"/>
    <x v="20"/>
    <x v="2"/>
    <s v="FUR-BO-10004695"/>
    <s v="Furniture"/>
    <x v="0"/>
    <s v="O'Sullivan 2-Door Barrister Bookcase in Odessa Pine"/>
    <n v="361.96"/>
    <n v="2"/>
    <n v="83.250799999999998"/>
    <x v="4"/>
    <x v="4"/>
  </r>
  <r>
    <x v="621"/>
    <x v="469"/>
    <d v="2016-12-19T00:00:00"/>
    <x v="1"/>
    <s v="MC-17845"/>
    <s v="Michael Chen"/>
    <x v="0"/>
    <s v="United States"/>
    <x v="38"/>
    <x v="21"/>
    <x v="0"/>
    <s v="FUR-FU-10002045"/>
    <s v="Furniture"/>
    <x v="3"/>
    <s v="Executive Impressions 14&quot;"/>
    <n v="133.38"/>
    <n v="6"/>
    <n v="58.687199999999997"/>
    <x v="2"/>
    <x v="5"/>
  </r>
  <r>
    <x v="622"/>
    <x v="193"/>
    <d v="2016-12-05T00:00:00"/>
    <x v="1"/>
    <s v="CL-11890"/>
    <s v="Carl Ludwig"/>
    <x v="0"/>
    <s v="United States"/>
    <x v="28"/>
    <x v="2"/>
    <x v="1"/>
    <s v="FUR-FU-10003724"/>
    <s v="Furniture"/>
    <x v="3"/>
    <s v="Westinghouse Clip-On Gooseneck Lamps"/>
    <n v="16.739999999999998"/>
    <n v="2"/>
    <n v="4.3524000000000003"/>
    <x v="4"/>
    <x v="5"/>
  </r>
  <r>
    <x v="623"/>
    <x v="470"/>
    <d v="2017-03-10T00:00:00"/>
    <x v="1"/>
    <s v="EP-13915"/>
    <s v="Emily Phan"/>
    <x v="0"/>
    <s v="United States"/>
    <x v="211"/>
    <x v="17"/>
    <x v="3"/>
    <s v="FUR-CH-10000785"/>
    <s v="Furniture"/>
    <x v="1"/>
    <s v="Global Ergonomic Managers Chair"/>
    <n v="180.98"/>
    <n v="1"/>
    <n v="47.0548"/>
    <x v="1"/>
    <x v="9"/>
  </r>
  <r>
    <x v="624"/>
    <x v="6"/>
    <d v="2016-12-14T00:00:00"/>
    <x v="1"/>
    <s v="SP-20620"/>
    <s v="Stefania Perrino"/>
    <x v="1"/>
    <s v="United States"/>
    <x v="28"/>
    <x v="2"/>
    <x v="1"/>
    <s v="FUR-TA-10003954"/>
    <s v="Furniture"/>
    <x v="2"/>
    <s v="Hon 94000 Series Round Tables"/>
    <n v="1421.664"/>
    <n v="6"/>
    <n v="-195.47880000000001"/>
    <x v="6"/>
    <x v="5"/>
  </r>
  <r>
    <x v="625"/>
    <x v="471"/>
    <d v="2014-04-10T00:00:00"/>
    <x v="2"/>
    <s v="PJ-19015"/>
    <s v="Pauline Johnson"/>
    <x v="0"/>
    <s v="United States"/>
    <x v="212"/>
    <x v="33"/>
    <x v="0"/>
    <s v="FUR-FU-10004415"/>
    <s v="Furniture"/>
    <x v="3"/>
    <s v="Stacking Tray, Side-Loading, Legal, Smoke"/>
    <n v="8.9600000000000009"/>
    <n v="2"/>
    <n v="2.7776000000000001"/>
    <x v="0"/>
    <x v="6"/>
  </r>
  <r>
    <x v="626"/>
    <x v="472"/>
    <d v="2014-08-29T00:00:00"/>
    <x v="2"/>
    <s v="CC-12610"/>
    <s v="Corey Catlett"/>
    <x v="1"/>
    <s v="United States"/>
    <x v="76"/>
    <x v="25"/>
    <x v="0"/>
    <s v="FUR-FU-10002456"/>
    <s v="Furniture"/>
    <x v="3"/>
    <s v="Master Caster Door Stop, Large Neon Orange"/>
    <n v="29.12"/>
    <n v="4"/>
    <n v="12.521599999999999"/>
    <x v="3"/>
    <x v="10"/>
  </r>
  <r>
    <x v="626"/>
    <x v="472"/>
    <d v="2014-08-29T00:00:00"/>
    <x v="2"/>
    <s v="CC-12610"/>
    <s v="Corey Catlett"/>
    <x v="1"/>
    <s v="United States"/>
    <x v="76"/>
    <x v="25"/>
    <x v="0"/>
    <s v="FUR-TA-10003569"/>
    <s v="Furniture"/>
    <x v="2"/>
    <s v="Bretford CR8500 Series Meeting Room Furniture"/>
    <n v="1202.94"/>
    <n v="3"/>
    <n v="300.73500000000001"/>
    <x v="3"/>
    <x v="10"/>
  </r>
  <r>
    <x v="627"/>
    <x v="473"/>
    <d v="2015-07-06T00:00:00"/>
    <x v="1"/>
    <s v="RH-19600"/>
    <s v="Rob Haberlin"/>
    <x v="0"/>
    <s v="United States"/>
    <x v="213"/>
    <x v="8"/>
    <x v="3"/>
    <s v="FUR-CH-10004086"/>
    <s v="Furniture"/>
    <x v="1"/>
    <s v="Hon 4070 Series Pagoda Armless Upholstered Stacking Chairs"/>
    <n v="408.42200000000003"/>
    <n v="2"/>
    <n v="-5.8346"/>
    <x v="4"/>
    <x v="3"/>
  </r>
  <r>
    <x v="627"/>
    <x v="473"/>
    <d v="2015-07-06T00:00:00"/>
    <x v="1"/>
    <s v="RH-19600"/>
    <s v="Rob Haberlin"/>
    <x v="0"/>
    <s v="United States"/>
    <x v="213"/>
    <x v="8"/>
    <x v="3"/>
    <s v="FUR-CH-10003774"/>
    <s v="Furniture"/>
    <x v="1"/>
    <s v="Global Wood Trimmed Manager's Task Chair, Khaki"/>
    <n v="382.11599999999999"/>
    <n v="6"/>
    <n v="-92.799599999999998"/>
    <x v="4"/>
    <x v="3"/>
  </r>
  <r>
    <x v="628"/>
    <x v="118"/>
    <d v="2017-09-28T00:00:00"/>
    <x v="1"/>
    <s v="KB-16240"/>
    <s v="Karen Bern"/>
    <x v="1"/>
    <s v="United States"/>
    <x v="214"/>
    <x v="11"/>
    <x v="3"/>
    <s v="FUR-CH-10000665"/>
    <s v="Furniture"/>
    <x v="1"/>
    <s v="Global Airflow Leather Mesh Back Chair, Black"/>
    <n v="603.91999999999996"/>
    <n v="4"/>
    <n v="181.17599999999999"/>
    <x v="4"/>
    <x v="4"/>
  </r>
  <r>
    <x v="629"/>
    <x v="474"/>
    <d v="2016-08-15T00:00:00"/>
    <x v="1"/>
    <s v="CA-12055"/>
    <s v="Cathy Armstrong"/>
    <x v="2"/>
    <s v="United States"/>
    <x v="2"/>
    <x v="2"/>
    <x v="1"/>
    <s v="FUR-TA-10001932"/>
    <s v="Furniture"/>
    <x v="2"/>
    <s v="Chromcraft 48&quot; x 96&quot; Racetrack Double Pedestal Table"/>
    <n v="513.024"/>
    <n v="2"/>
    <n v="12.8256"/>
    <x v="1"/>
    <x v="10"/>
  </r>
  <r>
    <x v="630"/>
    <x v="475"/>
    <d v="2014-06-24T00:00:00"/>
    <x v="1"/>
    <s v="SC-20020"/>
    <s v="Sam Craven"/>
    <x v="0"/>
    <s v="United States"/>
    <x v="215"/>
    <x v="5"/>
    <x v="3"/>
    <s v="FUR-BO-10001608"/>
    <s v="Furniture"/>
    <x v="0"/>
    <s v="Hon Metal Bookcases, Black"/>
    <n v="193.06559999999999"/>
    <n v="4"/>
    <n v="-19.874400000000001"/>
    <x v="4"/>
    <x v="2"/>
  </r>
  <r>
    <x v="631"/>
    <x v="362"/>
    <d v="2017-09-06T00:00:00"/>
    <x v="2"/>
    <s v="HW-14935"/>
    <s v="Helen Wasserman"/>
    <x v="1"/>
    <s v="United States"/>
    <x v="9"/>
    <x v="8"/>
    <x v="3"/>
    <s v="FUR-BO-10000112"/>
    <s v="Furniture"/>
    <x v="0"/>
    <s v="Bush Birmingham Collection Bookcase, Dark Cherry"/>
    <n v="825.17399999999998"/>
    <n v="9"/>
    <n v="-117.88200000000001"/>
    <x v="3"/>
    <x v="4"/>
  </r>
  <r>
    <x v="632"/>
    <x v="476"/>
    <d v="2015-06-25T00:00:00"/>
    <x v="2"/>
    <s v="MG-17875"/>
    <s v="Michael Grace"/>
    <x v="2"/>
    <s v="United States"/>
    <x v="14"/>
    <x v="8"/>
    <x v="3"/>
    <s v="FUR-TA-10002645"/>
    <s v="Furniture"/>
    <x v="2"/>
    <s v="Hon Rectangular Conference Tables"/>
    <n v="796.42499999999995"/>
    <n v="7"/>
    <n v="-525.64049999999997"/>
    <x v="0"/>
    <x v="2"/>
  </r>
  <r>
    <x v="633"/>
    <x v="126"/>
    <d v="2016-09-20T00:00:00"/>
    <x v="2"/>
    <s v="SV-20365"/>
    <s v="Seth Vernon"/>
    <x v="0"/>
    <s v="United States"/>
    <x v="29"/>
    <x v="15"/>
    <x v="2"/>
    <s v="FUR-FU-10002107"/>
    <s v="Furniture"/>
    <x v="3"/>
    <s v="Eldon Pizzaz Desk Accessories"/>
    <n v="5.3520000000000003"/>
    <n v="3"/>
    <n v="1.6055999999999999"/>
    <x v="3"/>
    <x v="4"/>
  </r>
  <r>
    <x v="633"/>
    <x v="126"/>
    <d v="2016-09-20T00:00:00"/>
    <x v="2"/>
    <s v="SV-20365"/>
    <s v="Seth Vernon"/>
    <x v="0"/>
    <s v="United States"/>
    <x v="29"/>
    <x v="15"/>
    <x v="2"/>
    <s v="FUR-CH-10002647"/>
    <s v="Furniture"/>
    <x v="1"/>
    <s v="Situations Contoured Folding Chairs, 4/Set"/>
    <n v="99.372"/>
    <n v="2"/>
    <n v="-7.0979999999999999"/>
    <x v="3"/>
    <x v="4"/>
  </r>
  <r>
    <x v="634"/>
    <x v="242"/>
    <d v="2017-11-01T00:00:00"/>
    <x v="2"/>
    <s v="RD-19810"/>
    <s v="Ross DeVincentis"/>
    <x v="2"/>
    <s v="United States"/>
    <x v="52"/>
    <x v="0"/>
    <x v="0"/>
    <s v="FUR-CH-10000553"/>
    <s v="Furniture"/>
    <x v="1"/>
    <s v="Metal Folding Chairs, Beige, 4/Carton"/>
    <n v="33.94"/>
    <n v="1"/>
    <n v="9.1638000000000002"/>
    <x v="3"/>
    <x v="1"/>
  </r>
  <r>
    <x v="635"/>
    <x v="477"/>
    <d v="2016-04-02T00:00:00"/>
    <x v="0"/>
    <s v="ME-17320"/>
    <s v="Maria Etezadi"/>
    <x v="2"/>
    <s v="United States"/>
    <x v="9"/>
    <x v="8"/>
    <x v="3"/>
    <s v="FUR-CH-10002965"/>
    <s v="Furniture"/>
    <x v="1"/>
    <s v="Global Leather Highback Executive Chair with Pneumatic Height Adjustment, Black"/>
    <n v="844.11599999999999"/>
    <n v="6"/>
    <n v="-36.176400000000001"/>
    <x v="4"/>
    <x v="9"/>
  </r>
  <r>
    <x v="636"/>
    <x v="478"/>
    <d v="2016-09-14T00:00:00"/>
    <x v="0"/>
    <s v="DB-12910"/>
    <s v="Daniel Byrd"/>
    <x v="2"/>
    <s v="United States"/>
    <x v="144"/>
    <x v="5"/>
    <x v="3"/>
    <s v="FUR-FU-10003832"/>
    <s v="Furniture"/>
    <x v="3"/>
    <s v="Eldon Expressions Punched Metal &amp; Wood Desk Accessories, Black &amp; Cherry"/>
    <n v="15.007999999999999"/>
    <n v="4"/>
    <n v="-12.006399999999999"/>
    <x v="2"/>
    <x v="4"/>
  </r>
  <r>
    <x v="637"/>
    <x v="81"/>
    <d v="2016-07-29T00:00:00"/>
    <x v="1"/>
    <s v="MT-17815"/>
    <s v="Meg Tillman"/>
    <x v="0"/>
    <s v="United States"/>
    <x v="38"/>
    <x v="21"/>
    <x v="0"/>
    <s v="FUR-TA-10004915"/>
    <s v="Furniture"/>
    <x v="2"/>
    <s v="Office Impressions End Table, 20-1/2&quot;H x 24&quot;W x 20&quot;D"/>
    <n v="2430.08"/>
    <n v="8"/>
    <n v="388.81279999999998"/>
    <x v="4"/>
    <x v="3"/>
  </r>
  <r>
    <x v="638"/>
    <x v="479"/>
    <d v="2015-12-16T00:00:00"/>
    <x v="1"/>
    <s v="KD-16495"/>
    <s v="Keith Dawkins"/>
    <x v="1"/>
    <s v="United States"/>
    <x v="38"/>
    <x v="17"/>
    <x v="3"/>
    <s v="FUR-TA-10003569"/>
    <s v="Furniture"/>
    <x v="2"/>
    <s v="Bretford CR8500 Series Meeting Room Furniture"/>
    <n v="801.96"/>
    <n v="2"/>
    <n v="200.49"/>
    <x v="6"/>
    <x v="5"/>
  </r>
  <r>
    <x v="638"/>
    <x v="479"/>
    <d v="2015-12-16T00:00:00"/>
    <x v="1"/>
    <s v="KD-16495"/>
    <s v="Keith Dawkins"/>
    <x v="1"/>
    <s v="United States"/>
    <x v="38"/>
    <x v="17"/>
    <x v="3"/>
    <s v="FUR-CH-10004289"/>
    <s v="Furniture"/>
    <x v="1"/>
    <s v="Global Super Steno Chair"/>
    <n v="191.96"/>
    <n v="2"/>
    <n v="32.633200000000002"/>
    <x v="6"/>
    <x v="5"/>
  </r>
  <r>
    <x v="639"/>
    <x v="383"/>
    <d v="2014-09-14T00:00:00"/>
    <x v="0"/>
    <s v="LC-17140"/>
    <s v="Logan Currie"/>
    <x v="0"/>
    <s v="United States"/>
    <x v="3"/>
    <x v="3"/>
    <x v="2"/>
    <s v="FUR-FU-10002456"/>
    <s v="Furniture"/>
    <x v="3"/>
    <s v="Master Caster Door Stop, Large Neon Orange"/>
    <n v="17.472000000000001"/>
    <n v="3"/>
    <n v="5.0232000000000001"/>
    <x v="2"/>
    <x v="4"/>
  </r>
  <r>
    <x v="640"/>
    <x v="317"/>
    <d v="2014-11-24T00:00:00"/>
    <x v="1"/>
    <s v="RB-19330"/>
    <s v="Randy Bradley"/>
    <x v="0"/>
    <s v="United States"/>
    <x v="3"/>
    <x v="3"/>
    <x v="2"/>
    <s v="FUR-CH-10004997"/>
    <s v="Furniture"/>
    <x v="1"/>
    <s v="Hon Every-Day Series Multi-Task Chairs"/>
    <n v="657.93"/>
    <n v="5"/>
    <n v="-93.99"/>
    <x v="1"/>
    <x v="0"/>
  </r>
  <r>
    <x v="641"/>
    <x v="67"/>
    <d v="2017-08-27T00:00:00"/>
    <x v="1"/>
    <s v="TH-21550"/>
    <s v="Tracy Hopkins"/>
    <x v="2"/>
    <s v="United States"/>
    <x v="11"/>
    <x v="32"/>
    <x v="2"/>
    <s v="FUR-FU-10003976"/>
    <s v="Furniture"/>
    <x v="3"/>
    <s v="DAX Executive Solid Wood Document Frame, Desktop or Hang, Mahogany, 5 x 7"/>
    <n v="25.16"/>
    <n v="2"/>
    <n v="8.5543999999999993"/>
    <x v="6"/>
    <x v="10"/>
  </r>
  <r>
    <x v="641"/>
    <x v="67"/>
    <d v="2017-08-27T00:00:00"/>
    <x v="1"/>
    <s v="TH-21550"/>
    <s v="Tracy Hopkins"/>
    <x v="2"/>
    <s v="United States"/>
    <x v="11"/>
    <x v="32"/>
    <x v="2"/>
    <s v="FUR-FU-10004960"/>
    <s v="Furniture"/>
    <x v="3"/>
    <s v="Seth Thomas 12&quot; Clock w/ Goldtone Case"/>
    <n v="91.92"/>
    <n v="4"/>
    <n v="31.252800000000001"/>
    <x v="6"/>
    <x v="10"/>
  </r>
  <r>
    <x v="642"/>
    <x v="49"/>
    <d v="2017-11-21T00:00:00"/>
    <x v="2"/>
    <s v="SC-20770"/>
    <s v="Stewart Carmichael"/>
    <x v="1"/>
    <s v="United States"/>
    <x v="21"/>
    <x v="5"/>
    <x v="3"/>
    <s v="FUR-TA-10002622"/>
    <s v="Furniture"/>
    <x v="2"/>
    <s v="Bush Andora Conference Table, Maple/Graphite Gray Finish"/>
    <n v="718.11599999999999"/>
    <n v="6"/>
    <n v="-71.811599999999999"/>
    <x v="3"/>
    <x v="0"/>
  </r>
  <r>
    <x v="643"/>
    <x v="94"/>
    <d v="2014-09-19T00:00:00"/>
    <x v="1"/>
    <s v="JC-15775"/>
    <s v="John Castell"/>
    <x v="0"/>
    <s v="United States"/>
    <x v="216"/>
    <x v="24"/>
    <x v="0"/>
    <s v="FUR-FU-10002878"/>
    <s v="Furniture"/>
    <x v="3"/>
    <s v="Seth Thomas 14&quot; Day/Date Wall Clock"/>
    <n v="142.4"/>
    <n v="5"/>
    <n v="52.688000000000002"/>
    <x v="2"/>
    <x v="4"/>
  </r>
  <r>
    <x v="644"/>
    <x v="405"/>
    <d v="2017-05-21T00:00:00"/>
    <x v="0"/>
    <s v="BC-11125"/>
    <s v="Becky Castell"/>
    <x v="2"/>
    <s v="United States"/>
    <x v="28"/>
    <x v="2"/>
    <x v="1"/>
    <s v="FUR-CH-10002647"/>
    <s v="Furniture"/>
    <x v="1"/>
    <s v="Situations Contoured Folding Chairs, 4/Set"/>
    <n v="681.40800000000002"/>
    <n v="12"/>
    <n v="42.588000000000001"/>
    <x v="3"/>
    <x v="7"/>
  </r>
  <r>
    <x v="645"/>
    <x v="480"/>
    <d v="2016-11-14T00:00:00"/>
    <x v="1"/>
    <s v="PP-18955"/>
    <s v="Paul Prost"/>
    <x v="2"/>
    <s v="United States"/>
    <x v="76"/>
    <x v="15"/>
    <x v="2"/>
    <s v="FUR-FU-10000758"/>
    <s v="Furniture"/>
    <x v="3"/>
    <s v="DAX Natural Wood-Tone Poster Frame"/>
    <n v="148.28800000000001"/>
    <n v="7"/>
    <n v="29.657599999999999"/>
    <x v="4"/>
    <x v="0"/>
  </r>
  <r>
    <x v="646"/>
    <x v="481"/>
    <d v="2015-03-17T00:00:00"/>
    <x v="1"/>
    <s v="EB-13750"/>
    <s v="Edward Becker"/>
    <x v="1"/>
    <s v="United States"/>
    <x v="217"/>
    <x v="1"/>
    <x v="0"/>
    <s v="FUR-FU-10003194"/>
    <s v="Furniture"/>
    <x v="3"/>
    <s v="Eldon Expressions Desk Accessory, Wood Pencil Holder, Oak"/>
    <n v="30.88"/>
    <n v="4"/>
    <n v="3.86"/>
    <x v="2"/>
    <x v="9"/>
  </r>
  <r>
    <x v="646"/>
    <x v="481"/>
    <d v="2015-03-17T00:00:00"/>
    <x v="1"/>
    <s v="EB-13750"/>
    <s v="Edward Becker"/>
    <x v="1"/>
    <s v="United States"/>
    <x v="217"/>
    <x v="1"/>
    <x v="0"/>
    <s v="FUR-FU-10001731"/>
    <s v="Furniture"/>
    <x v="3"/>
    <s v="Acrylic Self-Standing Desk Frames"/>
    <n v="6.4080000000000004"/>
    <n v="3"/>
    <n v="1.4418"/>
    <x v="2"/>
    <x v="9"/>
  </r>
  <r>
    <x v="647"/>
    <x v="200"/>
    <d v="2017-11-11T00:00:00"/>
    <x v="1"/>
    <s v="ML-17410"/>
    <s v="Maris LaWare"/>
    <x v="0"/>
    <s v="United States"/>
    <x v="3"/>
    <x v="3"/>
    <x v="2"/>
    <s v="FUR-CH-10003774"/>
    <s v="Furniture"/>
    <x v="1"/>
    <s v="Global Wood Trimmed Manager's Task Chair, Khaki"/>
    <n v="127.372"/>
    <n v="2"/>
    <n v="-30.933199999999999"/>
    <x v="2"/>
    <x v="0"/>
  </r>
  <r>
    <x v="648"/>
    <x v="482"/>
    <d v="2015-12-09T00:00:00"/>
    <x v="1"/>
    <s v="MH-17620"/>
    <s v="Matt Hagelstein"/>
    <x v="1"/>
    <s v="United States"/>
    <x v="53"/>
    <x v="2"/>
    <x v="1"/>
    <s v="FUR-FU-10004090"/>
    <s v="Furniture"/>
    <x v="3"/>
    <s v="Executive Impressions 14&quot; Contract Wall Clock"/>
    <n v="44.46"/>
    <n v="2"/>
    <n v="14.671799999999999"/>
    <x v="4"/>
    <x v="5"/>
  </r>
  <r>
    <x v="649"/>
    <x v="483"/>
    <d v="2015-07-14T00:00:00"/>
    <x v="1"/>
    <s v="BT-11680"/>
    <s v="Brian Thompson"/>
    <x v="0"/>
    <s v="United States"/>
    <x v="218"/>
    <x v="32"/>
    <x v="2"/>
    <s v="FUR-FU-10002918"/>
    <s v="Furniture"/>
    <x v="3"/>
    <s v="Eldon ClusterMat Chair Mat with Cordless Antistatic Protection"/>
    <n v="181.96"/>
    <n v="2"/>
    <n v="20.015599999999999"/>
    <x v="2"/>
    <x v="3"/>
  </r>
  <r>
    <x v="650"/>
    <x v="484"/>
    <d v="2015-11-02T00:00:00"/>
    <x v="0"/>
    <s v="FA-14230"/>
    <s v="Frank Atkinson"/>
    <x v="1"/>
    <s v="United States"/>
    <x v="22"/>
    <x v="12"/>
    <x v="1"/>
    <s v="FUR-FU-10003026"/>
    <s v="Furniture"/>
    <x v="3"/>
    <s v="Eldon Regeneration Recycled Desk Accessories, Black"/>
    <n v="15.488"/>
    <n v="4"/>
    <n v="3.6783999999999999"/>
    <x v="0"/>
    <x v="1"/>
  </r>
  <r>
    <x v="651"/>
    <x v="485"/>
    <d v="2015-11-21T00:00:00"/>
    <x v="0"/>
    <s v="TC-21475"/>
    <s v="Tony Chapman"/>
    <x v="2"/>
    <s v="United States"/>
    <x v="15"/>
    <x v="13"/>
    <x v="1"/>
    <s v="FUR-FU-10000305"/>
    <s v="Furniture"/>
    <x v="3"/>
    <s v="Tenex V2T-RE Standard Weight Series Chair Mat, 45&quot; x 53&quot;, Lip 25&quot; x 12&quot;"/>
    <n v="141.96"/>
    <n v="2"/>
    <n v="22.7136"/>
    <x v="3"/>
    <x v="0"/>
  </r>
  <r>
    <x v="652"/>
    <x v="455"/>
    <d v="2017-12-29T00:00:00"/>
    <x v="1"/>
    <s v="AC-10615"/>
    <s v="Ann Chong"/>
    <x v="1"/>
    <s v="United States"/>
    <x v="77"/>
    <x v="7"/>
    <x v="2"/>
    <s v="FUR-FU-10001602"/>
    <s v="Furniture"/>
    <x v="3"/>
    <s v="Eldon Delta Triangular Chair Mat, 52&quot; x 58&quot;, Clear"/>
    <n v="37.93"/>
    <n v="1"/>
    <n v="6.8273999999999999"/>
    <x v="2"/>
    <x v="5"/>
  </r>
  <r>
    <x v="653"/>
    <x v="486"/>
    <d v="2016-01-13T00:00:00"/>
    <x v="0"/>
    <s v="MF-17665"/>
    <s v="Maureen Fritzler"/>
    <x v="1"/>
    <s v="United States"/>
    <x v="219"/>
    <x v="15"/>
    <x v="2"/>
    <s v="FUR-FU-10002445"/>
    <s v="Furniture"/>
    <x v="3"/>
    <s v="DAX Two-Tone Rosewood/Black Document Frame, Desktop, 5 x 7"/>
    <n v="15.167999999999999"/>
    <n v="2"/>
    <n v="3.7919999999999998"/>
    <x v="4"/>
    <x v="8"/>
  </r>
  <r>
    <x v="654"/>
    <x v="255"/>
    <d v="2014-11-27T00:00:00"/>
    <x v="1"/>
    <s v="SS-20140"/>
    <s v="Saphhira Shifley"/>
    <x v="1"/>
    <s v="United States"/>
    <x v="220"/>
    <x v="5"/>
    <x v="3"/>
    <s v="FUR-FU-10001940"/>
    <s v="Furniture"/>
    <x v="3"/>
    <s v="Staple-based wall hangings"/>
    <n v="6.3680000000000003"/>
    <n v="2"/>
    <n v="-2.5472000000000001"/>
    <x v="4"/>
    <x v="0"/>
  </r>
  <r>
    <x v="655"/>
    <x v="487"/>
    <d v="2017-10-17T00:00:00"/>
    <x v="2"/>
    <s v="RS-19765"/>
    <s v="Roland Schwarz"/>
    <x v="1"/>
    <s v="United States"/>
    <x v="2"/>
    <x v="2"/>
    <x v="1"/>
    <s v="FUR-TA-10001705"/>
    <s v="Furniture"/>
    <x v="2"/>
    <s v="Bush Advantage Collection Round Conference Table"/>
    <n v="510.24"/>
    <n v="3"/>
    <n v="6.3780000000000001"/>
    <x v="3"/>
    <x v="1"/>
  </r>
  <r>
    <x v="656"/>
    <x v="488"/>
    <d v="2017-04-24T00:00:00"/>
    <x v="2"/>
    <s v="JW-15955"/>
    <s v="Joni Wasserman"/>
    <x v="0"/>
    <s v="United States"/>
    <x v="15"/>
    <x v="13"/>
    <x v="1"/>
    <s v="FUR-FU-10004622"/>
    <s v="Furniture"/>
    <x v="3"/>
    <s v="Eldon Advantage Foldable Chair Mats for Low Pile Carpets"/>
    <n v="162.6"/>
    <n v="3"/>
    <n v="34.146000000000001"/>
    <x v="0"/>
    <x v="6"/>
  </r>
  <r>
    <x v="657"/>
    <x v="489"/>
    <d v="2014-12-10T00:00:00"/>
    <x v="0"/>
    <s v="JK-15625"/>
    <s v="Jim Karlsson"/>
    <x v="0"/>
    <s v="United States"/>
    <x v="84"/>
    <x v="13"/>
    <x v="1"/>
    <s v="FUR-CH-10002602"/>
    <s v="Furniture"/>
    <x v="1"/>
    <s v="DMI Arturo Collection Mission-style Design Wood Chair"/>
    <n v="603.91999999999996"/>
    <n v="5"/>
    <n v="45.293999999999997"/>
    <x v="3"/>
    <x v="5"/>
  </r>
  <r>
    <x v="658"/>
    <x v="490"/>
    <d v="2016-12-24T00:00:00"/>
    <x v="1"/>
    <s v="AB-10255"/>
    <s v="Alejandro Ballentine"/>
    <x v="2"/>
    <s v="United States"/>
    <x v="38"/>
    <x v="21"/>
    <x v="0"/>
    <s v="FUR-FU-10001918"/>
    <s v="Furniture"/>
    <x v="3"/>
    <s v="C-Line Cubicle Keepers Polyproplyene Holder With Velcro Backings"/>
    <n v="18.920000000000002"/>
    <n v="4"/>
    <n v="7.3788"/>
    <x v="4"/>
    <x v="5"/>
  </r>
  <r>
    <x v="659"/>
    <x v="491"/>
    <d v="2017-03-11T00:00:00"/>
    <x v="0"/>
    <s v="RM-19750"/>
    <s v="Roland Murray"/>
    <x v="0"/>
    <s v="United States"/>
    <x v="13"/>
    <x v="7"/>
    <x v="2"/>
    <s v="FUR-FU-10002554"/>
    <s v="Furniture"/>
    <x v="3"/>
    <s v="Westinghouse Floor Lamp with Metal Mesh Shade, Black"/>
    <n v="71.97"/>
    <n v="3"/>
    <n v="16.553100000000001"/>
    <x v="2"/>
    <x v="9"/>
  </r>
  <r>
    <x v="660"/>
    <x v="348"/>
    <d v="2016-09-28T00:00:00"/>
    <x v="0"/>
    <s v="RA-19915"/>
    <s v="Russell Applegate"/>
    <x v="0"/>
    <s v="United States"/>
    <x v="29"/>
    <x v="24"/>
    <x v="0"/>
    <s v="FUR-CH-10002084"/>
    <s v="Furniture"/>
    <x v="1"/>
    <s v="Hon Mobius Operator's Chair"/>
    <n v="368.97"/>
    <n v="3"/>
    <n v="81.173400000000001"/>
    <x v="2"/>
    <x v="4"/>
  </r>
  <r>
    <x v="661"/>
    <x v="60"/>
    <d v="2017-08-29T00:00:00"/>
    <x v="0"/>
    <s v="DR-12880"/>
    <s v="Dan Reichenbach"/>
    <x v="1"/>
    <s v="United States"/>
    <x v="209"/>
    <x v="2"/>
    <x v="1"/>
    <s v="FUR-FU-10002937"/>
    <s v="Furniture"/>
    <x v="3"/>
    <s v="GE 48&quot; Fluorescent Tube, Cool White Energy Saver, 34 Watts, 30/Box"/>
    <n v="198.46"/>
    <n v="2"/>
    <n v="99.23"/>
    <x v="3"/>
    <x v="10"/>
  </r>
  <r>
    <x v="661"/>
    <x v="60"/>
    <d v="2017-08-29T00:00:00"/>
    <x v="0"/>
    <s v="DR-12880"/>
    <s v="Dan Reichenbach"/>
    <x v="1"/>
    <s v="United States"/>
    <x v="209"/>
    <x v="2"/>
    <x v="1"/>
    <s v="FUR-CH-10004886"/>
    <s v="Furniture"/>
    <x v="1"/>
    <s v="Bevis Steel Folding Chairs"/>
    <n v="230.28"/>
    <n v="3"/>
    <n v="23.027999999999999"/>
    <x v="3"/>
    <x v="10"/>
  </r>
  <r>
    <x v="662"/>
    <x v="492"/>
    <d v="2016-03-06T00:00:00"/>
    <x v="2"/>
    <s v="JG-15310"/>
    <s v="Jason Gross"/>
    <x v="1"/>
    <s v="United States"/>
    <x v="221"/>
    <x v="5"/>
    <x v="3"/>
    <s v="FUR-CH-10004983"/>
    <s v="Furniture"/>
    <x v="1"/>
    <s v="Office Star - Mid Back Dual function Ergonomic High Back Chair with 2-Way Adjustable Arms"/>
    <n v="563.42999999999995"/>
    <n v="5"/>
    <n v="-56.343000000000004"/>
    <x v="0"/>
    <x v="9"/>
  </r>
  <r>
    <x v="663"/>
    <x v="493"/>
    <d v="2015-09-23T00:00:00"/>
    <x v="1"/>
    <s v="GB-14530"/>
    <s v="George Bell"/>
    <x v="1"/>
    <s v="United States"/>
    <x v="2"/>
    <x v="2"/>
    <x v="1"/>
    <s v="FUR-FU-10001591"/>
    <s v="Furniture"/>
    <x v="3"/>
    <s v="Advantus Panel Wall Certificate Holder - 8.5x11"/>
    <n v="24.4"/>
    <n v="2"/>
    <n v="10.247999999999999"/>
    <x v="2"/>
    <x v="4"/>
  </r>
  <r>
    <x v="664"/>
    <x v="494"/>
    <d v="2016-08-18T00:00:00"/>
    <x v="0"/>
    <s v="TS-21160"/>
    <s v="Theresa Swint"/>
    <x v="1"/>
    <s v="United States"/>
    <x v="222"/>
    <x v="16"/>
    <x v="3"/>
    <s v="FUR-BO-10001337"/>
    <s v="Furniture"/>
    <x v="0"/>
    <s v="O'Sullivan Living Dimensions 2-Shelf Bookcases"/>
    <n v="241.96"/>
    <n v="2"/>
    <n v="24.196000000000002"/>
    <x v="2"/>
    <x v="10"/>
  </r>
  <r>
    <x v="665"/>
    <x v="445"/>
    <d v="2016-03-25T00:00:00"/>
    <x v="1"/>
    <s v="DM-12955"/>
    <s v="Dario Medina"/>
    <x v="1"/>
    <s v="United States"/>
    <x v="6"/>
    <x v="5"/>
    <x v="3"/>
    <s v="FUR-TA-10004767"/>
    <s v="Furniture"/>
    <x v="2"/>
    <s v="Safco Drafting Table"/>
    <n v="99.372"/>
    <n v="2"/>
    <n v="-1.4196"/>
    <x v="4"/>
    <x v="9"/>
  </r>
  <r>
    <x v="666"/>
    <x v="439"/>
    <d v="2014-12-20T00:00:00"/>
    <x v="0"/>
    <s v="KB-16585"/>
    <s v="Ken Black"/>
    <x v="1"/>
    <s v="United States"/>
    <x v="173"/>
    <x v="1"/>
    <x v="0"/>
    <s v="FUR-CH-10000988"/>
    <s v="Furniture"/>
    <x v="1"/>
    <s v="Hon Olson Stacker Stools"/>
    <n v="1013.832"/>
    <n v="9"/>
    <n v="101.3832"/>
    <x v="4"/>
    <x v="5"/>
  </r>
  <r>
    <x v="667"/>
    <x v="495"/>
    <d v="2016-12-21T00:00:00"/>
    <x v="1"/>
    <s v="CM-12160"/>
    <s v="Charles McCrossin"/>
    <x v="0"/>
    <s v="United States"/>
    <x v="28"/>
    <x v="2"/>
    <x v="1"/>
    <s v="FUR-TA-10004256"/>
    <s v="Furniture"/>
    <x v="2"/>
    <s v="Bretford ÒJust In TimeÓ Height-Adjustable Multi-Task Work Tables"/>
    <n v="2003.52"/>
    <n v="6"/>
    <n v="-325.572"/>
    <x v="4"/>
    <x v="5"/>
  </r>
  <r>
    <x v="668"/>
    <x v="496"/>
    <d v="2015-05-08T00:00:00"/>
    <x v="1"/>
    <s v="JB-16045"/>
    <s v="Julia Barnett"/>
    <x v="2"/>
    <s v="United States"/>
    <x v="223"/>
    <x v="2"/>
    <x v="1"/>
    <s v="FUR-FU-10002298"/>
    <s v="Furniture"/>
    <x v="3"/>
    <s v="Rubbermaid ClusterMat Chairmats, Mat Size- 66&quot; x 60&quot;, Lip 20&quot; x 11&quot; -90 Degree Angle"/>
    <n v="665.88"/>
    <n v="6"/>
    <n v="106.5408"/>
    <x v="2"/>
    <x v="7"/>
  </r>
  <r>
    <x v="669"/>
    <x v="497"/>
    <d v="2014-02-02T00:00:00"/>
    <x v="1"/>
    <s v="EJ-13720"/>
    <s v="Ed Jacobs"/>
    <x v="0"/>
    <s v="United States"/>
    <x v="53"/>
    <x v="2"/>
    <x v="1"/>
    <s v="FUR-TA-10003469"/>
    <s v="Furniture"/>
    <x v="2"/>
    <s v="Balt Split Level Computer Training Table"/>
    <n v="333"/>
    <n v="3"/>
    <n v="-16.649999999999999"/>
    <x v="6"/>
    <x v="8"/>
  </r>
  <r>
    <x v="670"/>
    <x v="498"/>
    <d v="2017-11-05T00:00:00"/>
    <x v="2"/>
    <s v="KL-16555"/>
    <s v="Kelly Lampkin"/>
    <x v="1"/>
    <s v="United States"/>
    <x v="224"/>
    <x v="30"/>
    <x v="0"/>
    <s v="FUR-TA-10004575"/>
    <s v="Furniture"/>
    <x v="2"/>
    <s v="Hon 5100 Series Wood Tables"/>
    <n v="523.76400000000001"/>
    <n v="3"/>
    <n v="-192.04679999999999"/>
    <x v="5"/>
    <x v="0"/>
  </r>
  <r>
    <x v="671"/>
    <x v="499"/>
    <d v="2016-10-20T00:00:00"/>
    <x v="1"/>
    <s v="NC-18415"/>
    <s v="Nathan Cano"/>
    <x v="0"/>
    <s v="United States"/>
    <x v="51"/>
    <x v="30"/>
    <x v="0"/>
    <s v="FUR-CH-10003606"/>
    <s v="Furniture"/>
    <x v="1"/>
    <s v="SAFCO Folding Chair Trolley"/>
    <n v="102.592"/>
    <n v="1"/>
    <n v="10.2592"/>
    <x v="6"/>
    <x v="1"/>
  </r>
  <r>
    <x v="672"/>
    <x v="500"/>
    <d v="2015-11-19T00:00:00"/>
    <x v="1"/>
    <s v="AH-10690"/>
    <s v="Anna HŠberlin"/>
    <x v="1"/>
    <s v="United States"/>
    <x v="217"/>
    <x v="1"/>
    <x v="0"/>
    <s v="FUR-CH-10003298"/>
    <s v="Furniture"/>
    <x v="1"/>
    <s v="Office Star - Contemporary Task Swivel chair with Loop Arms, Charcoal"/>
    <n v="523.91999999999996"/>
    <n v="5"/>
    <n v="-72.039000000000001"/>
    <x v="1"/>
    <x v="0"/>
  </r>
  <r>
    <x v="672"/>
    <x v="500"/>
    <d v="2015-11-19T00:00:00"/>
    <x v="1"/>
    <s v="AH-10690"/>
    <s v="Anna HŠberlin"/>
    <x v="1"/>
    <s v="United States"/>
    <x v="217"/>
    <x v="1"/>
    <x v="0"/>
    <s v="FUR-CH-10004477"/>
    <s v="Furniture"/>
    <x v="1"/>
    <s v="Global Push Button Manager's Chair, Indigo"/>
    <n v="146.136"/>
    <n v="3"/>
    <n v="16.440300000000001"/>
    <x v="1"/>
    <x v="0"/>
  </r>
  <r>
    <x v="673"/>
    <x v="195"/>
    <d v="2015-09-19T00:00:00"/>
    <x v="1"/>
    <s v="NW-18400"/>
    <s v="Natalie Webber"/>
    <x v="0"/>
    <s v="United States"/>
    <x v="212"/>
    <x v="33"/>
    <x v="0"/>
    <s v="FUR-TA-10003569"/>
    <s v="Furniture"/>
    <x v="2"/>
    <s v="Bretford CR8500 Series Meeting Room Furniture"/>
    <n v="801.96"/>
    <n v="2"/>
    <n v="200.49"/>
    <x v="4"/>
    <x v="4"/>
  </r>
  <r>
    <x v="673"/>
    <x v="195"/>
    <d v="2015-09-19T00:00:00"/>
    <x v="1"/>
    <s v="NW-18400"/>
    <s v="Natalie Webber"/>
    <x v="0"/>
    <s v="United States"/>
    <x v="212"/>
    <x v="33"/>
    <x v="0"/>
    <s v="FUR-CH-10004853"/>
    <s v="Furniture"/>
    <x v="1"/>
    <s v="Global Manager's Adjustable Task Chair, Storm"/>
    <n v="1056.8599999999999"/>
    <n v="7"/>
    <n v="306.48939999999999"/>
    <x v="4"/>
    <x v="4"/>
  </r>
  <r>
    <x v="674"/>
    <x v="224"/>
    <d v="2017-10-14T00:00:00"/>
    <x v="1"/>
    <s v="HG-14845"/>
    <s v="Harry Greene"/>
    <x v="0"/>
    <s v="United States"/>
    <x v="13"/>
    <x v="7"/>
    <x v="2"/>
    <s v="FUR-BO-10003034"/>
    <s v="Furniture"/>
    <x v="0"/>
    <s v="O'Sullivan Elevations Bookcase, Cherry Finish"/>
    <n v="314.35199999999998"/>
    <n v="3"/>
    <n v="-15.717599999999999"/>
    <x v="2"/>
    <x v="1"/>
  </r>
  <r>
    <x v="675"/>
    <x v="501"/>
    <d v="2017-05-11T00:00:00"/>
    <x v="1"/>
    <s v="RW-19540"/>
    <s v="Rick Wilson"/>
    <x v="1"/>
    <s v="United States"/>
    <x v="25"/>
    <x v="17"/>
    <x v="3"/>
    <s v="FUR-CH-10004086"/>
    <s v="Furniture"/>
    <x v="1"/>
    <s v="Hon 4070 Series Pagoda Armless Upholstered Stacking Chairs"/>
    <n v="1458.65"/>
    <n v="5"/>
    <n v="423.00850000000003"/>
    <x v="4"/>
    <x v="7"/>
  </r>
  <r>
    <x v="675"/>
    <x v="501"/>
    <d v="2017-05-11T00:00:00"/>
    <x v="1"/>
    <s v="RW-19540"/>
    <s v="Rick Wilson"/>
    <x v="1"/>
    <s v="United States"/>
    <x v="25"/>
    <x v="17"/>
    <x v="3"/>
    <s v="FUR-CH-10002017"/>
    <s v="Furniture"/>
    <x v="1"/>
    <s v="SAFCO Optional Arm Kit for Workspace Cribbage Stacking Chair"/>
    <n v="26.64"/>
    <n v="1"/>
    <n v="7.4592000000000001"/>
    <x v="4"/>
    <x v="7"/>
  </r>
  <r>
    <x v="675"/>
    <x v="501"/>
    <d v="2017-05-11T00:00:00"/>
    <x v="1"/>
    <s v="RW-19540"/>
    <s v="Rick Wilson"/>
    <x v="1"/>
    <s v="United States"/>
    <x v="25"/>
    <x v="17"/>
    <x v="3"/>
    <s v="FUR-CH-10000595"/>
    <s v="Furniture"/>
    <x v="1"/>
    <s v="Safco Contoured Stacking Chairs"/>
    <n v="476.8"/>
    <n v="2"/>
    <n v="119.2"/>
    <x v="4"/>
    <x v="7"/>
  </r>
  <r>
    <x v="676"/>
    <x v="502"/>
    <d v="2015-11-19T00:00:00"/>
    <x v="1"/>
    <s v="LS-17230"/>
    <s v="Lycoris Saunders"/>
    <x v="0"/>
    <s v="United States"/>
    <x v="63"/>
    <x v="14"/>
    <x v="2"/>
    <s v="FUR-FU-10004017"/>
    <s v="Furniture"/>
    <x v="3"/>
    <s v="Executive Impressions 13&quot; Chairman Wall Clock"/>
    <n v="76.14"/>
    <n v="3"/>
    <n v="26.649000000000001"/>
    <x v="2"/>
    <x v="0"/>
  </r>
  <r>
    <x v="677"/>
    <x v="168"/>
    <d v="2014-11-24T00:00:00"/>
    <x v="3"/>
    <s v="MY-18295"/>
    <s v="Muhammed Yedwab"/>
    <x v="1"/>
    <s v="United States"/>
    <x v="29"/>
    <x v="15"/>
    <x v="2"/>
    <s v="FUR-CH-10000847"/>
    <s v="Furniture"/>
    <x v="1"/>
    <s v="Global Executive Mid-Back Manager's Chair"/>
    <n v="611.05799999999999"/>
    <n v="3"/>
    <n v="-34.9176"/>
    <x v="7"/>
    <x v="0"/>
  </r>
  <r>
    <x v="678"/>
    <x v="503"/>
    <d v="2014-08-02T00:00:00"/>
    <x v="1"/>
    <s v="KM-16720"/>
    <s v="Kunst Miller"/>
    <x v="0"/>
    <s v="United States"/>
    <x v="111"/>
    <x v="34"/>
    <x v="1"/>
    <s v="FUR-CH-10003312"/>
    <s v="Furniture"/>
    <x v="1"/>
    <s v="Hon 2090 ÒPillow SoftÓ Series Mid Back Swivel/Tilt Chairs"/>
    <n v="674.35199999999998"/>
    <n v="3"/>
    <n v="-109.5822"/>
    <x v="1"/>
    <x v="3"/>
  </r>
  <r>
    <x v="678"/>
    <x v="503"/>
    <d v="2014-08-02T00:00:00"/>
    <x v="1"/>
    <s v="KM-16720"/>
    <s v="Kunst Miller"/>
    <x v="0"/>
    <s v="United States"/>
    <x v="111"/>
    <x v="34"/>
    <x v="1"/>
    <s v="FUR-FU-10004018"/>
    <s v="Furniture"/>
    <x v="3"/>
    <s v="Tensor Computer Mounted Lamp"/>
    <n v="134.01"/>
    <n v="9"/>
    <n v="36.182699999999997"/>
    <x v="1"/>
    <x v="3"/>
  </r>
  <r>
    <x v="679"/>
    <x v="391"/>
    <d v="2014-06-12T00:00:00"/>
    <x v="1"/>
    <s v="KE-16420"/>
    <s v="Katrina Edelman"/>
    <x v="1"/>
    <s v="United States"/>
    <x v="203"/>
    <x v="9"/>
    <x v="0"/>
    <s v="FUR-CH-10002647"/>
    <s v="Furniture"/>
    <x v="1"/>
    <s v="Situations Contoured Folding Chairs, 4/Set"/>
    <n v="170.352"/>
    <n v="3"/>
    <n v="10.647"/>
    <x v="4"/>
    <x v="2"/>
  </r>
  <r>
    <x v="680"/>
    <x v="504"/>
    <d v="2014-10-31T00:00:00"/>
    <x v="2"/>
    <s v="TS-21370"/>
    <s v="Todd Sumrall"/>
    <x v="1"/>
    <s v="United States"/>
    <x v="2"/>
    <x v="2"/>
    <x v="1"/>
    <s v="FUR-BO-10001337"/>
    <s v="Furniture"/>
    <x v="0"/>
    <s v="O'Sullivan Living Dimensions 2-Shelf Bookcases"/>
    <n v="616.99800000000005"/>
    <n v="6"/>
    <n v="-36.293999999999997"/>
    <x v="0"/>
    <x v="1"/>
  </r>
  <r>
    <x v="681"/>
    <x v="231"/>
    <d v="2015-09-21T00:00:00"/>
    <x v="3"/>
    <s v="DH-13675"/>
    <s v="Duane Huffman"/>
    <x v="2"/>
    <s v="United States"/>
    <x v="202"/>
    <x v="20"/>
    <x v="2"/>
    <s v="FUR-FU-10004006"/>
    <s v="Furniture"/>
    <x v="3"/>
    <s v="Deflect-o DuraMat Lighweight, Studded, Beveled Mat for Low Pile Carpeting"/>
    <n v="85.3"/>
    <n v="2"/>
    <n v="14.500999999999999"/>
    <x v="7"/>
    <x v="4"/>
  </r>
  <r>
    <x v="682"/>
    <x v="505"/>
    <d v="2017-06-10T00:00:00"/>
    <x v="1"/>
    <s v="GH-14410"/>
    <s v="Gary Hansen"/>
    <x v="2"/>
    <s v="United States"/>
    <x v="28"/>
    <x v="2"/>
    <x v="1"/>
    <s v="FUR-FU-10004164"/>
    <s v="Furniture"/>
    <x v="3"/>
    <s v="Eldon 300 Class Desk Accessories, Black"/>
    <n v="4.95"/>
    <n v="1"/>
    <n v="2.1779999999999999"/>
    <x v="4"/>
    <x v="2"/>
  </r>
  <r>
    <x v="683"/>
    <x v="506"/>
    <d v="2017-02-22T00:00:00"/>
    <x v="1"/>
    <s v="JK-16120"/>
    <s v="Julie Kriz"/>
    <x v="2"/>
    <s v="United States"/>
    <x v="9"/>
    <x v="8"/>
    <x v="3"/>
    <s v="FUR-TA-10001932"/>
    <s v="Furniture"/>
    <x v="2"/>
    <s v="Chromcraft 48&quot; x 96&quot; Racetrack Double Pedestal Table"/>
    <n v="480.96"/>
    <n v="3"/>
    <n v="-269.33760000000001"/>
    <x v="2"/>
    <x v="11"/>
  </r>
  <r>
    <x v="684"/>
    <x v="44"/>
    <d v="2015-12-03T00:00:00"/>
    <x v="1"/>
    <s v="LC-16885"/>
    <s v="Lena Creighton"/>
    <x v="0"/>
    <s v="United States"/>
    <x v="225"/>
    <x v="8"/>
    <x v="3"/>
    <s v="FUR-FU-10004904"/>
    <s v="Furniture"/>
    <x v="3"/>
    <s v="Eldon &quot;L&quot; Workstation Diamond Chairmat"/>
    <n v="151.96"/>
    <n v="5"/>
    <n v="-182.352"/>
    <x v="2"/>
    <x v="0"/>
  </r>
  <r>
    <x v="685"/>
    <x v="507"/>
    <d v="2015-10-27T00:00:00"/>
    <x v="0"/>
    <s v="JF-15355"/>
    <s v="Jay Fein"/>
    <x v="0"/>
    <s v="United States"/>
    <x v="53"/>
    <x v="2"/>
    <x v="1"/>
    <s v="FUR-CH-10004495"/>
    <s v="Furniture"/>
    <x v="1"/>
    <s v="Global Leather and Oak Executive Chair, Black"/>
    <n v="240.78399999999999"/>
    <n v="1"/>
    <n v="27.088200000000001"/>
    <x v="4"/>
    <x v="1"/>
  </r>
  <r>
    <x v="685"/>
    <x v="507"/>
    <d v="2015-10-27T00:00:00"/>
    <x v="0"/>
    <s v="JF-15355"/>
    <s v="Jay Fein"/>
    <x v="0"/>
    <s v="United States"/>
    <x v="53"/>
    <x v="2"/>
    <x v="1"/>
    <s v="FUR-CH-10004540"/>
    <s v="Furniture"/>
    <x v="1"/>
    <s v="Global Chrome Stack Chair"/>
    <n v="191.96799999999999"/>
    <n v="7"/>
    <n v="16.7972"/>
    <x v="4"/>
    <x v="1"/>
  </r>
  <r>
    <x v="685"/>
    <x v="507"/>
    <d v="2015-10-27T00:00:00"/>
    <x v="0"/>
    <s v="JF-15355"/>
    <s v="Jay Fein"/>
    <x v="0"/>
    <s v="United States"/>
    <x v="53"/>
    <x v="2"/>
    <x v="1"/>
    <s v="FUR-CH-10001854"/>
    <s v="Furniture"/>
    <x v="1"/>
    <s v="Office Star - Professional Matrix Back Chair with 2-to-1 Synchro Tilt and Mesh Fabric Seat"/>
    <n v="842.35199999999998"/>
    <n v="3"/>
    <n v="42.117600000000003"/>
    <x v="4"/>
    <x v="1"/>
  </r>
  <r>
    <x v="686"/>
    <x v="508"/>
    <d v="2015-06-20T00:00:00"/>
    <x v="1"/>
    <s v="PF-19120"/>
    <s v="Peter Fuller"/>
    <x v="0"/>
    <s v="United States"/>
    <x v="171"/>
    <x v="22"/>
    <x v="1"/>
    <s v="FUR-FU-10004904"/>
    <s v="Furniture"/>
    <x v="3"/>
    <s v="Eldon &quot;L&quot; Workstation Diamond Chairmat"/>
    <n v="364.70400000000001"/>
    <n v="6"/>
    <n v="-36.470399999999998"/>
    <x v="2"/>
    <x v="2"/>
  </r>
  <r>
    <x v="686"/>
    <x v="508"/>
    <d v="2015-06-20T00:00:00"/>
    <x v="1"/>
    <s v="PF-19120"/>
    <s v="Peter Fuller"/>
    <x v="0"/>
    <s v="United States"/>
    <x v="171"/>
    <x v="22"/>
    <x v="1"/>
    <s v="FUR-FU-10002396"/>
    <s v="Furniture"/>
    <x v="3"/>
    <s v="DAX Copper Panel Document Frame, 5 x 7 Size"/>
    <n v="40.256"/>
    <n v="4"/>
    <n v="11.070399999999999"/>
    <x v="2"/>
    <x v="2"/>
  </r>
  <r>
    <x v="687"/>
    <x v="243"/>
    <d v="2016-11-30T00:00:00"/>
    <x v="1"/>
    <s v="SP-20860"/>
    <s v="Sung Pak"/>
    <x v="1"/>
    <s v="United States"/>
    <x v="2"/>
    <x v="2"/>
    <x v="1"/>
    <s v="FUR-CH-10001394"/>
    <s v="Furniture"/>
    <x v="1"/>
    <s v="Global Leather Executive Chair"/>
    <n v="1684.752"/>
    <n v="6"/>
    <n v="210.59399999999999"/>
    <x v="6"/>
    <x v="0"/>
  </r>
  <r>
    <x v="688"/>
    <x v="509"/>
    <d v="2015-04-10T00:00:00"/>
    <x v="1"/>
    <s v="VT-21700"/>
    <s v="Valerie Takahito"/>
    <x v="2"/>
    <s v="United States"/>
    <x v="3"/>
    <x v="3"/>
    <x v="2"/>
    <s v="FUR-FU-10001468"/>
    <s v="Furniture"/>
    <x v="3"/>
    <s v="Tenex Antistatic Computer Chair Mats"/>
    <n v="547.13599999999997"/>
    <n v="4"/>
    <n v="-68.391999999999996"/>
    <x v="2"/>
    <x v="6"/>
  </r>
  <r>
    <x v="688"/>
    <x v="509"/>
    <d v="2015-04-10T00:00:00"/>
    <x v="1"/>
    <s v="VT-21700"/>
    <s v="Valerie Takahito"/>
    <x v="2"/>
    <s v="United States"/>
    <x v="3"/>
    <x v="3"/>
    <x v="2"/>
    <s v="FUR-FU-10001037"/>
    <s v="Furniture"/>
    <x v="3"/>
    <s v="DAX Charcoal/Nickel-Tone Document Frame, 5 x 7"/>
    <n v="7.5839999999999996"/>
    <n v="1"/>
    <n v="2.37"/>
    <x v="2"/>
    <x v="6"/>
  </r>
  <r>
    <x v="688"/>
    <x v="509"/>
    <d v="2015-04-10T00:00:00"/>
    <x v="1"/>
    <s v="VT-21700"/>
    <s v="Valerie Takahito"/>
    <x v="2"/>
    <s v="United States"/>
    <x v="3"/>
    <x v="3"/>
    <x v="2"/>
    <s v="FUR-BO-10004218"/>
    <s v="Furniture"/>
    <x v="0"/>
    <s v="Bush Heritage Pine Collection 5-Shelf Bookcase, Albany Pine Finish, *Special Order"/>
    <n v="352.45"/>
    <n v="5"/>
    <n v="-211.47"/>
    <x v="2"/>
    <x v="6"/>
  </r>
  <r>
    <x v="689"/>
    <x v="510"/>
    <d v="2017-09-25T00:00:00"/>
    <x v="1"/>
    <s v="MM-18280"/>
    <s v="Muhammed MacIntyre"/>
    <x v="1"/>
    <s v="United States"/>
    <x v="13"/>
    <x v="7"/>
    <x v="2"/>
    <s v="FUR-FU-10002268"/>
    <s v="Furniture"/>
    <x v="3"/>
    <s v="Ultra Door Push Plate"/>
    <n v="9.82"/>
    <n v="2"/>
    <n v="3.2406000000000001"/>
    <x v="1"/>
    <x v="4"/>
  </r>
  <r>
    <x v="690"/>
    <x v="511"/>
    <d v="2017-07-23T00:00:00"/>
    <x v="1"/>
    <s v="ML-17410"/>
    <s v="Maris LaWare"/>
    <x v="0"/>
    <s v="United States"/>
    <x v="43"/>
    <x v="22"/>
    <x v="1"/>
    <s v="FUR-TA-10001932"/>
    <s v="Furniture"/>
    <x v="2"/>
    <s v="Chromcraft 48&quot; x 96&quot; Racetrack Double Pedestal Table"/>
    <n v="801.6"/>
    <n v="5"/>
    <n v="-448.89600000000002"/>
    <x v="2"/>
    <x v="3"/>
  </r>
  <r>
    <x v="690"/>
    <x v="511"/>
    <d v="2017-07-23T00:00:00"/>
    <x v="1"/>
    <s v="ML-17410"/>
    <s v="Maris LaWare"/>
    <x v="0"/>
    <s v="United States"/>
    <x v="43"/>
    <x v="22"/>
    <x v="1"/>
    <s v="FUR-CH-10004218"/>
    <s v="Furniture"/>
    <x v="1"/>
    <s v="Global Fabric Manager's Chair, Dark Gray"/>
    <n v="161.56800000000001"/>
    <n v="2"/>
    <n v="10.098000000000001"/>
    <x v="2"/>
    <x v="3"/>
  </r>
  <r>
    <x v="690"/>
    <x v="511"/>
    <d v="2017-07-23T00:00:00"/>
    <x v="1"/>
    <s v="ML-17410"/>
    <s v="Maris LaWare"/>
    <x v="0"/>
    <s v="United States"/>
    <x v="43"/>
    <x v="22"/>
    <x v="1"/>
    <s v="FUR-CH-10000513"/>
    <s v="Furniture"/>
    <x v="1"/>
    <s v="High-Back Leather Manager's Chair"/>
    <n v="311.976"/>
    <n v="3"/>
    <n v="-42.896700000000003"/>
    <x v="2"/>
    <x v="3"/>
  </r>
  <r>
    <x v="691"/>
    <x v="512"/>
    <d v="2014-09-21T00:00:00"/>
    <x v="1"/>
    <s v="BN-11515"/>
    <s v="Bradley Nguyen"/>
    <x v="0"/>
    <s v="United States"/>
    <x v="15"/>
    <x v="13"/>
    <x v="1"/>
    <s v="FUR-FU-10004671"/>
    <s v="Furniture"/>
    <x v="3"/>
    <s v="Executive Impressions 12&quot; Wall Clock"/>
    <n v="35.340000000000003"/>
    <n v="2"/>
    <n v="13.4292"/>
    <x v="4"/>
    <x v="4"/>
  </r>
  <r>
    <x v="692"/>
    <x v="269"/>
    <d v="2016-03-17T00:00:00"/>
    <x v="2"/>
    <s v="JS-15880"/>
    <s v="John Stevenson"/>
    <x v="0"/>
    <s v="United States"/>
    <x v="226"/>
    <x v="5"/>
    <x v="3"/>
    <s v="FUR-BO-10004409"/>
    <s v="Furniture"/>
    <x v="0"/>
    <s v="Safco Value Mate Series Steel Bookcases, Baked Enamel Finish on Steel, Gray"/>
    <n v="241.33199999999999"/>
    <n v="5"/>
    <n v="-14.196"/>
    <x v="0"/>
    <x v="9"/>
  </r>
  <r>
    <x v="693"/>
    <x v="513"/>
    <d v="2015-06-20T00:00:00"/>
    <x v="1"/>
    <s v="LS-17230"/>
    <s v="Lycoris Saunders"/>
    <x v="0"/>
    <s v="United States"/>
    <x v="141"/>
    <x v="5"/>
    <x v="3"/>
    <s v="FUR-CH-10001708"/>
    <s v="Furniture"/>
    <x v="1"/>
    <s v="Office Star - Contemporary Swivel Chair with Padded Adjustable Arms and Flex Back"/>
    <n v="197.37200000000001"/>
    <n v="2"/>
    <n v="-25.3764"/>
    <x v="4"/>
    <x v="2"/>
  </r>
  <r>
    <x v="694"/>
    <x v="43"/>
    <d v="2016-12-10T00:00:00"/>
    <x v="3"/>
    <s v="MH-17455"/>
    <s v="Mark Hamilton"/>
    <x v="0"/>
    <s v="United States"/>
    <x v="227"/>
    <x v="6"/>
    <x v="3"/>
    <s v="FUR-CH-10003379"/>
    <s v="Furniture"/>
    <x v="1"/>
    <s v="Global Commerce Series High-Back Swivel/Tilt Chairs"/>
    <n v="1424.9"/>
    <n v="5"/>
    <n v="356.22500000000002"/>
    <x v="7"/>
    <x v="5"/>
  </r>
  <r>
    <x v="695"/>
    <x v="514"/>
    <d v="2017-05-23T00:00:00"/>
    <x v="1"/>
    <s v="TS-21340"/>
    <s v="Toby Swindell"/>
    <x v="0"/>
    <s v="United States"/>
    <x v="13"/>
    <x v="7"/>
    <x v="2"/>
    <s v="FUR-FU-10002456"/>
    <s v="Furniture"/>
    <x v="3"/>
    <s v="Master Caster Door Stop, Large Neon Orange"/>
    <n v="14.56"/>
    <n v="2"/>
    <n v="6.2607999999999997"/>
    <x v="2"/>
    <x v="7"/>
  </r>
  <r>
    <x v="696"/>
    <x v="515"/>
    <d v="2016-11-22T00:00:00"/>
    <x v="1"/>
    <s v="SN-20710"/>
    <s v="Steve Nguyen"/>
    <x v="2"/>
    <s v="United States"/>
    <x v="102"/>
    <x v="5"/>
    <x v="3"/>
    <s v="FUR-CH-10003817"/>
    <s v="Furniture"/>
    <x v="1"/>
    <s v="Global Value Steno Chair, Gray"/>
    <n v="255.108"/>
    <n v="6"/>
    <n v="-18.222000000000001"/>
    <x v="4"/>
    <x v="0"/>
  </r>
  <r>
    <x v="697"/>
    <x v="516"/>
    <d v="2014-04-09T00:00:00"/>
    <x v="1"/>
    <s v="MS-17710"/>
    <s v="Maurice Satty"/>
    <x v="0"/>
    <s v="United States"/>
    <x v="25"/>
    <x v="17"/>
    <x v="3"/>
    <s v="FUR-FU-10004020"/>
    <s v="Furniture"/>
    <x v="3"/>
    <s v="Advantus Panel Wall Acrylic Frame"/>
    <n v="5.47"/>
    <n v="1"/>
    <n v="2.3521000000000001"/>
    <x v="2"/>
    <x v="6"/>
  </r>
  <r>
    <x v="698"/>
    <x v="517"/>
    <d v="2016-07-03T00:00:00"/>
    <x v="1"/>
    <s v="DN-13690"/>
    <s v="Duane Noonan"/>
    <x v="0"/>
    <s v="United States"/>
    <x v="28"/>
    <x v="2"/>
    <x v="1"/>
    <s v="FUR-FU-10002364"/>
    <s v="Furniture"/>
    <x v="3"/>
    <s v="Eldon Expressions Wood Desk Accessories, Oak"/>
    <n v="22.14"/>
    <n v="3"/>
    <n v="6.4206000000000003"/>
    <x v="1"/>
    <x v="2"/>
  </r>
  <r>
    <x v="699"/>
    <x v="518"/>
    <d v="2016-06-02T00:00:00"/>
    <x v="1"/>
    <s v="RB-19360"/>
    <s v="Raymond Buch"/>
    <x v="0"/>
    <s v="United States"/>
    <x v="228"/>
    <x v="9"/>
    <x v="0"/>
    <s v="FUR-FU-10001085"/>
    <s v="Furniture"/>
    <x v="3"/>
    <s v="3M Polarizing Light Filter Sleeves"/>
    <n v="44.76"/>
    <n v="3"/>
    <n v="14.547000000000001"/>
    <x v="4"/>
    <x v="7"/>
  </r>
  <r>
    <x v="700"/>
    <x v="519"/>
    <d v="2017-02-20T00:00:00"/>
    <x v="2"/>
    <s v="ED-13885"/>
    <s v="Emily Ducich"/>
    <x v="2"/>
    <s v="United States"/>
    <x v="2"/>
    <x v="2"/>
    <x v="1"/>
    <s v="FUR-FU-10004018"/>
    <s v="Furniture"/>
    <x v="3"/>
    <s v="Tensor Computer Mounted Lamp"/>
    <n v="44.67"/>
    <n v="3"/>
    <n v="12.0609"/>
    <x v="5"/>
    <x v="11"/>
  </r>
  <r>
    <x v="701"/>
    <x v="477"/>
    <d v="2016-04-02T00:00:00"/>
    <x v="1"/>
    <s v="JM-15250"/>
    <s v="Janet Martin"/>
    <x v="0"/>
    <s v="United States"/>
    <x v="13"/>
    <x v="7"/>
    <x v="2"/>
    <s v="FUR-FU-10004848"/>
    <s v="Furniture"/>
    <x v="3"/>
    <s v="Howard Miller 13-3/4&quot; Diameter Brushed Chrome Round Wall Clock"/>
    <n v="414"/>
    <n v="8"/>
    <n v="124.2"/>
    <x v="4"/>
    <x v="9"/>
  </r>
  <r>
    <x v="702"/>
    <x v="148"/>
    <d v="2016-10-24T00:00:00"/>
    <x v="2"/>
    <s v="EB-13930"/>
    <s v="Eric Barreto"/>
    <x v="0"/>
    <s v="United States"/>
    <x v="52"/>
    <x v="25"/>
    <x v="0"/>
    <s v="FUR-FU-10003731"/>
    <s v="Furniture"/>
    <x v="3"/>
    <s v="Eldon Expressions Wood and Plastic Desk Accessories, Oak"/>
    <n v="39.92"/>
    <n v="4"/>
    <n v="11.1776"/>
    <x v="3"/>
    <x v="1"/>
  </r>
  <r>
    <x v="703"/>
    <x v="520"/>
    <d v="2014-12-27T00:00:00"/>
    <x v="1"/>
    <s v="TH-21235"/>
    <s v="Tiffany House"/>
    <x v="1"/>
    <s v="United States"/>
    <x v="13"/>
    <x v="7"/>
    <x v="2"/>
    <s v="FUR-TA-10001676"/>
    <s v="Furniture"/>
    <x v="2"/>
    <s v="Hon 61000 Series Interactive Training Tables"/>
    <n v="53.316000000000003"/>
    <n v="2"/>
    <n v="-19.549199999999999"/>
    <x v="4"/>
    <x v="5"/>
  </r>
  <r>
    <x v="704"/>
    <x v="521"/>
    <d v="2017-12-20T00:00:00"/>
    <x v="1"/>
    <s v="PL-18925"/>
    <s v="Paul Lucas"/>
    <x v="2"/>
    <s v="United States"/>
    <x v="15"/>
    <x v="13"/>
    <x v="1"/>
    <s v="FUR-FU-10003096"/>
    <s v="Furniture"/>
    <x v="3"/>
    <s v="Master Giant Foot Doorstop, Safety Yellow"/>
    <n v="22.77"/>
    <n v="3"/>
    <n v="9.7911000000000001"/>
    <x v="2"/>
    <x v="5"/>
  </r>
  <r>
    <x v="705"/>
    <x v="281"/>
    <d v="2016-07-09T00:00:00"/>
    <x v="0"/>
    <s v="CC-12370"/>
    <s v="Christopher Conant"/>
    <x v="0"/>
    <s v="United States"/>
    <x v="2"/>
    <x v="2"/>
    <x v="1"/>
    <s v="FUR-CH-10003061"/>
    <s v="Furniture"/>
    <x v="1"/>
    <s v="Global Leather Task Chair, Black"/>
    <n v="287.96800000000002"/>
    <n v="4"/>
    <n v="-3.5996000000000001"/>
    <x v="3"/>
    <x v="3"/>
  </r>
  <r>
    <x v="706"/>
    <x v="380"/>
    <d v="2016-04-21T00:00:00"/>
    <x v="1"/>
    <s v="JM-15535"/>
    <s v="Jessica Myrick"/>
    <x v="0"/>
    <s v="United States"/>
    <x v="174"/>
    <x v="2"/>
    <x v="1"/>
    <s v="FUR-BO-10003441"/>
    <s v="Furniture"/>
    <x v="0"/>
    <s v="Bush Westfield Collection Bookcases, Fully Assembled"/>
    <n v="257.49900000000002"/>
    <n v="3"/>
    <n v="24.235199999999999"/>
    <x v="4"/>
    <x v="6"/>
  </r>
  <r>
    <x v="707"/>
    <x v="380"/>
    <d v="2016-04-22T00:00:00"/>
    <x v="1"/>
    <s v="CS-12175"/>
    <s v="Charles Sheldon"/>
    <x v="1"/>
    <s v="United States"/>
    <x v="11"/>
    <x v="9"/>
    <x v="0"/>
    <s v="FUR-FU-10003798"/>
    <s v="Furniture"/>
    <x v="3"/>
    <s v="Ultra Door Kickplate, 8&quot;H x 34&quot;W"/>
    <n v="79.12"/>
    <n v="5"/>
    <n v="13.846"/>
    <x v="2"/>
    <x v="6"/>
  </r>
  <r>
    <x v="708"/>
    <x v="306"/>
    <d v="2014-11-27T00:00:00"/>
    <x v="0"/>
    <s v="AR-10540"/>
    <s v="Andy Reiter"/>
    <x v="0"/>
    <s v="United States"/>
    <x v="229"/>
    <x v="38"/>
    <x v="2"/>
    <s v="FUR-FU-10001095"/>
    <s v="Furniture"/>
    <x v="3"/>
    <s v="DAX Black Cherry Wood-Tone Poster Frame"/>
    <n v="52.96"/>
    <n v="2"/>
    <n v="20.1248"/>
    <x v="3"/>
    <x v="0"/>
  </r>
  <r>
    <x v="709"/>
    <x v="522"/>
    <d v="2015-05-05T00:00:00"/>
    <x v="1"/>
    <s v="DB-13120"/>
    <s v="David Bremer"/>
    <x v="1"/>
    <s v="United States"/>
    <x v="26"/>
    <x v="1"/>
    <x v="0"/>
    <s v="FUR-FU-10001095"/>
    <s v="Furniture"/>
    <x v="3"/>
    <s v="DAX Black Cherry Wood-Tone Poster Frame"/>
    <n v="63.552"/>
    <n v="3"/>
    <n v="14.299200000000001"/>
    <x v="4"/>
    <x v="7"/>
  </r>
  <r>
    <x v="710"/>
    <x v="523"/>
    <d v="2015-03-12T00:00:00"/>
    <x v="1"/>
    <s v="DK-12895"/>
    <s v="Dana Kaydos"/>
    <x v="0"/>
    <s v="United States"/>
    <x v="230"/>
    <x v="16"/>
    <x v="3"/>
    <s v="FUR-BO-10002916"/>
    <s v="Furniture"/>
    <x v="0"/>
    <s v="Rush Hierlooms Collection 1&quot; Thick Stackable Bookcases"/>
    <n v="512.94000000000005"/>
    <n v="3"/>
    <n v="97.458600000000004"/>
    <x v="4"/>
    <x v="9"/>
  </r>
  <r>
    <x v="710"/>
    <x v="523"/>
    <d v="2015-03-12T00:00:00"/>
    <x v="1"/>
    <s v="DK-12895"/>
    <s v="Dana Kaydos"/>
    <x v="0"/>
    <s v="United States"/>
    <x v="230"/>
    <x v="16"/>
    <x v="3"/>
    <s v="FUR-CH-10002084"/>
    <s v="Furniture"/>
    <x v="1"/>
    <s v="Hon Mobius Operator's Chair"/>
    <n v="860.93"/>
    <n v="7"/>
    <n v="189.40459999999999"/>
    <x v="4"/>
    <x v="9"/>
  </r>
  <r>
    <x v="710"/>
    <x v="523"/>
    <d v="2015-03-12T00:00:00"/>
    <x v="1"/>
    <s v="DK-12895"/>
    <s v="Dana Kaydos"/>
    <x v="0"/>
    <s v="United States"/>
    <x v="230"/>
    <x v="16"/>
    <x v="3"/>
    <s v="FUR-FU-10000308"/>
    <s v="Furniture"/>
    <x v="3"/>
    <s v="Deflect-o Glass Clear Studded Chair Mats"/>
    <n v="373.08"/>
    <n v="6"/>
    <n v="82.077600000000004"/>
    <x v="4"/>
    <x v="9"/>
  </r>
  <r>
    <x v="711"/>
    <x v="392"/>
    <d v="2015-07-20T00:00:00"/>
    <x v="0"/>
    <s v="MP-17965"/>
    <s v="Michael Paige"/>
    <x v="1"/>
    <s v="United States"/>
    <x v="231"/>
    <x v="1"/>
    <x v="0"/>
    <s v="FUR-BO-10004709"/>
    <s v="Furniture"/>
    <x v="0"/>
    <s v="Bush Westfield Collection Bookcases, Medium Cherry Finish"/>
    <n v="231.92"/>
    <n v="5"/>
    <n v="5.798"/>
    <x v="0"/>
    <x v="3"/>
  </r>
  <r>
    <x v="712"/>
    <x v="524"/>
    <d v="2014-10-16T00:00:00"/>
    <x v="1"/>
    <s v="Dp-13240"/>
    <s v="Dean percer"/>
    <x v="2"/>
    <s v="United States"/>
    <x v="15"/>
    <x v="13"/>
    <x v="1"/>
    <s v="FUR-FU-10001196"/>
    <s v="Furniture"/>
    <x v="3"/>
    <s v="DAX Cubicle Frames - 8x10"/>
    <n v="63.47"/>
    <n v="11"/>
    <n v="19.041"/>
    <x v="2"/>
    <x v="1"/>
  </r>
  <r>
    <x v="713"/>
    <x v="492"/>
    <d v="2016-03-08T00:00:00"/>
    <x v="1"/>
    <s v="CC-12220"/>
    <s v="Chris Cortes"/>
    <x v="0"/>
    <s v="United States"/>
    <x v="21"/>
    <x v="5"/>
    <x v="3"/>
    <s v="FUR-TA-10004915"/>
    <s v="Furniture"/>
    <x v="2"/>
    <s v="Office Impressions End Table, 20-1/2&quot;H x 24&quot;W x 20&quot;D"/>
    <n v="637.89599999999996"/>
    <n v="3"/>
    <n v="-127.5792"/>
    <x v="2"/>
    <x v="9"/>
  </r>
  <r>
    <x v="714"/>
    <x v="143"/>
    <d v="2017-01-05T00:00:00"/>
    <x v="1"/>
    <s v="SC-20725"/>
    <s v="Steven Cartwright"/>
    <x v="0"/>
    <s v="United States"/>
    <x v="2"/>
    <x v="2"/>
    <x v="1"/>
    <s v="FUR-FU-10001215"/>
    <s v="Furniture"/>
    <x v="3"/>
    <s v="Howard Miller 11-1/2&quot; Diameter Brentwood Wall Clock"/>
    <n v="474.43"/>
    <n v="11"/>
    <n v="199.26060000000001"/>
    <x v="4"/>
    <x v="8"/>
  </r>
  <r>
    <x v="715"/>
    <x v="525"/>
    <d v="2014-06-27T00:00:00"/>
    <x v="1"/>
    <s v="AA-10645"/>
    <s v="Anna Andreadi"/>
    <x v="0"/>
    <s v="United States"/>
    <x v="100"/>
    <x v="3"/>
    <x v="2"/>
    <s v="FUR-CH-10004698"/>
    <s v="Furniture"/>
    <x v="1"/>
    <s v="Padded Folding Chairs, Black, 4/Carton"/>
    <n v="170.05799999999999"/>
    <n v="3"/>
    <n v="-4.8587999999999996"/>
    <x v="2"/>
    <x v="2"/>
  </r>
  <r>
    <x v="715"/>
    <x v="525"/>
    <d v="2014-06-27T00:00:00"/>
    <x v="1"/>
    <s v="AA-10645"/>
    <s v="Anna Andreadi"/>
    <x v="0"/>
    <s v="United States"/>
    <x v="100"/>
    <x v="3"/>
    <x v="2"/>
    <s v="FUR-CH-10000454"/>
    <s v="Furniture"/>
    <x v="1"/>
    <s v="Hon Deluxe Fabric Upholstered Stacking Chairs, Rounded Back"/>
    <n v="853.93"/>
    <n v="5"/>
    <n v="0"/>
    <x v="2"/>
    <x v="2"/>
  </r>
  <r>
    <x v="716"/>
    <x v="526"/>
    <d v="2017-10-28T00:00:00"/>
    <x v="2"/>
    <s v="JO-15145"/>
    <s v="Jack O'Briant"/>
    <x v="1"/>
    <s v="United States"/>
    <x v="28"/>
    <x v="2"/>
    <x v="1"/>
    <s v="FUR-BO-10003034"/>
    <s v="Furniture"/>
    <x v="0"/>
    <s v="O'Sullivan Elevations Bookcase, Cherry Finish"/>
    <n v="556.66499999999996"/>
    <n v="5"/>
    <n v="6.5490000000000004"/>
    <x v="5"/>
    <x v="1"/>
  </r>
  <r>
    <x v="717"/>
    <x v="455"/>
    <d v="2017-12-28T00:00:00"/>
    <x v="1"/>
    <s v="CS-12355"/>
    <s v="Christine Sundaresam"/>
    <x v="0"/>
    <s v="United States"/>
    <x v="120"/>
    <x v="35"/>
    <x v="0"/>
    <s v="FUR-CH-10002439"/>
    <s v="Furniture"/>
    <x v="1"/>
    <s v="Iceberg Nesting Folding Chair, 19w x 6d x 43h"/>
    <n v="232.88"/>
    <n v="4"/>
    <n v="60.5488"/>
    <x v="4"/>
    <x v="5"/>
  </r>
  <r>
    <x v="718"/>
    <x v="527"/>
    <d v="2015-01-02T00:00:00"/>
    <x v="1"/>
    <s v="AJ-10795"/>
    <s v="Anthony Johnson"/>
    <x v="1"/>
    <s v="United States"/>
    <x v="28"/>
    <x v="2"/>
    <x v="1"/>
    <s v="FUR-FU-10000550"/>
    <s v="Furniture"/>
    <x v="3"/>
    <s v="Stacking Trays by OIC"/>
    <n v="24.9"/>
    <n v="5"/>
    <n v="8.2170000000000005"/>
    <x v="4"/>
    <x v="5"/>
  </r>
  <r>
    <x v="718"/>
    <x v="527"/>
    <d v="2015-01-02T00:00:00"/>
    <x v="1"/>
    <s v="AJ-10795"/>
    <s v="Anthony Johnson"/>
    <x v="1"/>
    <s v="United States"/>
    <x v="28"/>
    <x v="2"/>
    <x v="1"/>
    <s v="FUR-FU-10000672"/>
    <s v="Furniture"/>
    <x v="3"/>
    <s v="Executive Impressions 10&quot; Spectator Wall Clock"/>
    <n v="70.56"/>
    <n v="6"/>
    <n v="23.990400000000001"/>
    <x v="4"/>
    <x v="5"/>
  </r>
  <r>
    <x v="719"/>
    <x v="528"/>
    <d v="2015-06-30T00:00:00"/>
    <x v="1"/>
    <s v="JF-15565"/>
    <s v="Jill Fjeld"/>
    <x v="0"/>
    <s v="United States"/>
    <x v="28"/>
    <x v="2"/>
    <x v="1"/>
    <s v="FUR-FU-10001979"/>
    <s v="Furniture"/>
    <x v="3"/>
    <s v="Dana Halogen Swing-Arm Architect Lamp"/>
    <n v="204.85"/>
    <n v="5"/>
    <n v="57.357999999999997"/>
    <x v="2"/>
    <x v="2"/>
  </r>
  <r>
    <x v="720"/>
    <x v="529"/>
    <d v="2017-06-26T00:00:00"/>
    <x v="0"/>
    <s v="GA-14515"/>
    <s v="George Ashbrook"/>
    <x v="0"/>
    <s v="United States"/>
    <x v="13"/>
    <x v="7"/>
    <x v="2"/>
    <s v="FUR-FU-10003601"/>
    <s v="Furniture"/>
    <x v="3"/>
    <s v="Deflect-o RollaMat Studded, Beveled Mat for Medium Pile Carpeting"/>
    <n v="276.69"/>
    <n v="3"/>
    <n v="49.804200000000002"/>
    <x v="3"/>
    <x v="2"/>
  </r>
  <r>
    <x v="720"/>
    <x v="529"/>
    <d v="2017-06-26T00:00:00"/>
    <x v="0"/>
    <s v="GA-14515"/>
    <s v="George Ashbrook"/>
    <x v="0"/>
    <s v="United States"/>
    <x v="13"/>
    <x v="7"/>
    <x v="2"/>
    <s v="FUR-CH-10001891"/>
    <s v="Furniture"/>
    <x v="1"/>
    <s v="Global Deluxe Office Fabric Chairs"/>
    <n v="172.76400000000001"/>
    <n v="2"/>
    <n v="32.633200000000002"/>
    <x v="3"/>
    <x v="2"/>
  </r>
  <r>
    <x v="721"/>
    <x v="189"/>
    <d v="2014-10-03T00:00:00"/>
    <x v="1"/>
    <s v="SM-20950"/>
    <s v="Suzanne McNair"/>
    <x v="1"/>
    <s v="United States"/>
    <x v="3"/>
    <x v="3"/>
    <x v="2"/>
    <s v="FUR-TA-10004175"/>
    <s v="Furniture"/>
    <x v="2"/>
    <s v="Hon 30&quot; x 60&quot; Table with Locking Drawer"/>
    <n v="409.27199999999999"/>
    <n v="2"/>
    <n v="-81.854399999999998"/>
    <x v="4"/>
    <x v="4"/>
  </r>
  <r>
    <x v="721"/>
    <x v="189"/>
    <d v="2014-10-03T00:00:00"/>
    <x v="1"/>
    <s v="SM-20950"/>
    <s v="Suzanne McNair"/>
    <x v="1"/>
    <s v="United States"/>
    <x v="3"/>
    <x v="3"/>
    <x v="2"/>
    <s v="FUR-TA-10004147"/>
    <s v="Furniture"/>
    <x v="2"/>
    <s v="Hon 4060 Series Tables"/>
    <n v="67.176000000000002"/>
    <n v="1"/>
    <n v="-20.152799999999999"/>
    <x v="4"/>
    <x v="4"/>
  </r>
  <r>
    <x v="722"/>
    <x v="141"/>
    <d v="2015-11-24T00:00:00"/>
    <x v="1"/>
    <s v="LC-16885"/>
    <s v="Lena Creighton"/>
    <x v="0"/>
    <s v="United States"/>
    <x v="121"/>
    <x v="2"/>
    <x v="1"/>
    <s v="FUR-CH-10000595"/>
    <s v="Furniture"/>
    <x v="1"/>
    <s v="Safco Contoured Stacking Chairs"/>
    <n v="572.16"/>
    <n v="3"/>
    <n v="35.76"/>
    <x v="4"/>
    <x v="0"/>
  </r>
  <r>
    <x v="723"/>
    <x v="530"/>
    <d v="2016-08-31T00:00:00"/>
    <x v="2"/>
    <s v="TP-21415"/>
    <s v="Tom Prescott"/>
    <x v="0"/>
    <s v="United States"/>
    <x v="144"/>
    <x v="5"/>
    <x v="3"/>
    <s v="FUR-BO-10003159"/>
    <s v="Furniture"/>
    <x v="0"/>
    <s v="Sauder Camden County Collection Libraries, Planked Cherry Finish"/>
    <n v="156.37280000000001"/>
    <n v="2"/>
    <n v="-52.890799999999999"/>
    <x v="0"/>
    <x v="10"/>
  </r>
  <r>
    <x v="724"/>
    <x v="531"/>
    <d v="2017-11-20T00:00:00"/>
    <x v="1"/>
    <s v="DK-12895"/>
    <s v="Dana Kaydos"/>
    <x v="0"/>
    <s v="United States"/>
    <x v="232"/>
    <x v="1"/>
    <x v="0"/>
    <s v="FUR-FU-10003553"/>
    <s v="Furniture"/>
    <x v="3"/>
    <s v="Howard Miller 13-1/2&quot; Diameter Rosebrook Wall Clock"/>
    <n v="220.06399999999999"/>
    <n v="4"/>
    <n v="55.015999999999998"/>
    <x v="2"/>
    <x v="0"/>
  </r>
  <r>
    <x v="724"/>
    <x v="531"/>
    <d v="2017-11-20T00:00:00"/>
    <x v="1"/>
    <s v="DK-12895"/>
    <s v="Dana Kaydos"/>
    <x v="0"/>
    <s v="United States"/>
    <x v="232"/>
    <x v="1"/>
    <x v="0"/>
    <s v="FUR-FU-10001488"/>
    <s v="Furniture"/>
    <x v="3"/>
    <s v="Tenex 46&quot; x 60&quot; Computer Anti-Static Chairmat, Rectangular Shaped"/>
    <n v="339.13600000000002"/>
    <n v="4"/>
    <n v="0"/>
    <x v="2"/>
    <x v="0"/>
  </r>
  <r>
    <x v="725"/>
    <x v="532"/>
    <d v="2014-08-26T00:00:00"/>
    <x v="1"/>
    <s v="LH-16900"/>
    <s v="Lena Hernandez"/>
    <x v="0"/>
    <s v="United States"/>
    <x v="93"/>
    <x v="31"/>
    <x v="0"/>
    <s v="FUR-BO-10000711"/>
    <s v="Furniture"/>
    <x v="0"/>
    <s v="Hon Metal Bookcases, Gray"/>
    <n v="638.82000000000005"/>
    <n v="9"/>
    <n v="172.48140000000001"/>
    <x v="1"/>
    <x v="10"/>
  </r>
  <r>
    <x v="726"/>
    <x v="533"/>
    <d v="2017-12-21T00:00:00"/>
    <x v="3"/>
    <s v="RB-19465"/>
    <s v="Rick Bensley"/>
    <x v="2"/>
    <s v="United States"/>
    <x v="233"/>
    <x v="27"/>
    <x v="3"/>
    <s v="FUR-FU-10001940"/>
    <s v="Furniture"/>
    <x v="3"/>
    <s v="Staple-based wall hangings"/>
    <n v="15.92"/>
    <n v="2"/>
    <n v="7.0048000000000004"/>
    <x v="7"/>
    <x v="5"/>
  </r>
  <r>
    <x v="727"/>
    <x v="395"/>
    <d v="2015-09-07T00:00:00"/>
    <x v="3"/>
    <s v="MC-17275"/>
    <s v="Marc Crier"/>
    <x v="0"/>
    <s v="United States"/>
    <x v="13"/>
    <x v="7"/>
    <x v="2"/>
    <s v="FUR-TA-10003837"/>
    <s v="Furniture"/>
    <x v="2"/>
    <s v="Anderson Hickey Conga Table Tops &amp; Accessories"/>
    <n v="27.414000000000001"/>
    <n v="3"/>
    <n v="-14.1639"/>
    <x v="7"/>
    <x v="4"/>
  </r>
  <r>
    <x v="728"/>
    <x v="344"/>
    <d v="2016-01-01T00:00:00"/>
    <x v="1"/>
    <s v="DL-13495"/>
    <s v="Dionis Lloyd"/>
    <x v="1"/>
    <s v="United States"/>
    <x v="25"/>
    <x v="17"/>
    <x v="3"/>
    <s v="FUR-BO-10004360"/>
    <s v="Furniture"/>
    <x v="0"/>
    <s v="Rush Hierlooms Collection Rich Wood Bookcases"/>
    <n v="160.97999999999999"/>
    <n v="1"/>
    <n v="20.927399999999999"/>
    <x v="1"/>
    <x v="5"/>
  </r>
  <r>
    <x v="729"/>
    <x v="534"/>
    <d v="2017-07-31T00:00:00"/>
    <x v="0"/>
    <s v="MG-18145"/>
    <s v="Mike Gockenbach"/>
    <x v="0"/>
    <s v="United States"/>
    <x v="51"/>
    <x v="1"/>
    <x v="0"/>
    <s v="FUR-FU-10001602"/>
    <s v="Furniture"/>
    <x v="3"/>
    <s v="Eldon Delta Triangular Chair Mat, 52&quot; x 58&quot;, Clear"/>
    <n v="91.031999999999996"/>
    <n v="3"/>
    <n v="-2.2757999999999998"/>
    <x v="4"/>
    <x v="3"/>
  </r>
  <r>
    <x v="730"/>
    <x v="451"/>
    <d v="2017-12-04T00:00:00"/>
    <x v="2"/>
    <s v="RA-19285"/>
    <s v="Ralph Arnett"/>
    <x v="0"/>
    <s v="United States"/>
    <x v="3"/>
    <x v="3"/>
    <x v="2"/>
    <s v="FUR-FU-10003798"/>
    <s v="Furniture"/>
    <x v="3"/>
    <s v="Ultra Door Kickplate, 8&quot;H x 34&quot;W"/>
    <n v="79.12"/>
    <n v="5"/>
    <n v="13.846"/>
    <x v="0"/>
    <x v="5"/>
  </r>
  <r>
    <x v="731"/>
    <x v="129"/>
    <d v="2017-02-06T00:00:00"/>
    <x v="1"/>
    <s v="EH-14125"/>
    <s v="Eugene Hildebrand"/>
    <x v="2"/>
    <s v="United States"/>
    <x v="28"/>
    <x v="2"/>
    <x v="1"/>
    <s v="FUR-CH-10000863"/>
    <s v="Furniture"/>
    <x v="1"/>
    <s v="Novimex Swivel Fabric Task Chair"/>
    <n v="120.78400000000001"/>
    <n v="1"/>
    <n v="-13.588200000000001"/>
    <x v="1"/>
    <x v="8"/>
  </r>
  <r>
    <x v="732"/>
    <x v="44"/>
    <d v="2015-12-04T00:00:00"/>
    <x v="1"/>
    <s v="TP-21415"/>
    <s v="Tom Prescott"/>
    <x v="0"/>
    <s v="United States"/>
    <x v="234"/>
    <x v="7"/>
    <x v="2"/>
    <s v="FUR-FU-10004017"/>
    <s v="Furniture"/>
    <x v="3"/>
    <s v="Tenex Contemporary Contur Chairmats for Low and Medium Pile Carpet, Computer, 39&quot; x 49&quot;"/>
    <n v="322.58999999999997"/>
    <n v="3"/>
    <n v="64.518000000000001"/>
    <x v="6"/>
    <x v="0"/>
  </r>
  <r>
    <x v="733"/>
    <x v="524"/>
    <d v="2014-10-13T00:00:00"/>
    <x v="2"/>
    <s v="HA-14920"/>
    <s v="Helen Andreada"/>
    <x v="0"/>
    <s v="United States"/>
    <x v="102"/>
    <x v="2"/>
    <x v="1"/>
    <s v="FUR-CH-10000229"/>
    <s v="Furniture"/>
    <x v="1"/>
    <s v="Global Enterprise Series Seating High-Back Swivel/Tilt Chairs"/>
    <n v="433.56799999999998"/>
    <n v="2"/>
    <n v="-65.035200000000003"/>
    <x v="3"/>
    <x v="1"/>
  </r>
  <r>
    <x v="734"/>
    <x v="28"/>
    <d v="2016-12-07T00:00:00"/>
    <x v="2"/>
    <s v="AG-10300"/>
    <s v="Aleksandra Gannaway"/>
    <x v="1"/>
    <s v="United States"/>
    <x v="20"/>
    <x v="20"/>
    <x v="2"/>
    <s v="FUR-BO-10002853"/>
    <s v="Furniture"/>
    <x v="0"/>
    <s v="O'Sullivan 5-Shelf Heavy-Duty Bookcases"/>
    <n v="81.94"/>
    <n v="1"/>
    <n v="20.484999999999999"/>
    <x v="3"/>
    <x v="5"/>
  </r>
  <r>
    <x v="735"/>
    <x v="397"/>
    <d v="2015-11-20T00:00:00"/>
    <x v="1"/>
    <s v="HK-14890"/>
    <s v="Heather Kirkland"/>
    <x v="1"/>
    <s v="United States"/>
    <x v="235"/>
    <x v="42"/>
    <x v="1"/>
    <s v="FUR-TA-10000577"/>
    <s v="Furniture"/>
    <x v="2"/>
    <s v="Bretford CR4500 Series Slim Rectangular Table"/>
    <n v="696.42"/>
    <n v="2"/>
    <n v="160.17660000000001"/>
    <x v="4"/>
    <x v="0"/>
  </r>
  <r>
    <x v="736"/>
    <x v="57"/>
    <d v="2016-04-14T00:00:00"/>
    <x v="1"/>
    <s v="CK-12595"/>
    <s v="Clytie Kelty"/>
    <x v="0"/>
    <s v="United States"/>
    <x v="2"/>
    <x v="2"/>
    <x v="1"/>
    <s v="FUR-FU-10002597"/>
    <s v="Furniture"/>
    <x v="3"/>
    <s v="C-Line Magnetic Cubicle Keepers, Clear Polypropylene"/>
    <n v="24.7"/>
    <n v="5"/>
    <n v="10.374000000000001"/>
    <x v="6"/>
    <x v="6"/>
  </r>
  <r>
    <x v="737"/>
    <x v="314"/>
    <d v="2014-11-02T00:00:00"/>
    <x v="0"/>
    <s v="AM-10705"/>
    <s v="Anne McFarland"/>
    <x v="0"/>
    <s v="United States"/>
    <x v="236"/>
    <x v="38"/>
    <x v="2"/>
    <s v="FUR-FU-10002364"/>
    <s v="Furniture"/>
    <x v="3"/>
    <s v="Eldon Expressions Wood Desk Accessories, Oak"/>
    <n v="14.76"/>
    <n v="2"/>
    <n v="4.2804000000000002"/>
    <x v="3"/>
    <x v="1"/>
  </r>
  <r>
    <x v="737"/>
    <x v="314"/>
    <d v="2014-11-02T00:00:00"/>
    <x v="0"/>
    <s v="AM-10705"/>
    <s v="Anne McFarland"/>
    <x v="0"/>
    <s v="United States"/>
    <x v="236"/>
    <x v="38"/>
    <x v="2"/>
    <s v="FUR-FU-10000023"/>
    <s v="Furniture"/>
    <x v="3"/>
    <s v="Eldon Wave Desk Accessories"/>
    <n v="17.670000000000002"/>
    <n v="3"/>
    <n v="7.7747999999999999"/>
    <x v="3"/>
    <x v="1"/>
  </r>
  <r>
    <x v="737"/>
    <x v="314"/>
    <d v="2014-11-02T00:00:00"/>
    <x v="0"/>
    <s v="AM-10705"/>
    <s v="Anne McFarland"/>
    <x v="0"/>
    <s v="United States"/>
    <x v="236"/>
    <x v="38"/>
    <x v="2"/>
    <s v="FUR-CH-10002320"/>
    <s v="Furniture"/>
    <x v="1"/>
    <s v="Hon Pagoda Stacking Chairs"/>
    <n v="1604.9"/>
    <n v="5"/>
    <n v="481.47"/>
    <x v="3"/>
    <x v="1"/>
  </r>
  <r>
    <x v="737"/>
    <x v="314"/>
    <d v="2014-11-02T00:00:00"/>
    <x v="0"/>
    <s v="AM-10705"/>
    <s v="Anne McFarland"/>
    <x v="0"/>
    <s v="United States"/>
    <x v="236"/>
    <x v="38"/>
    <x v="2"/>
    <s v="FUR-TA-10003238"/>
    <s v="Furniture"/>
    <x v="2"/>
    <s v="Chromcraft Bull-Nose Wood 48&quot; x 96&quot; Rectangular Conference Tables"/>
    <n v="385.68599999999998"/>
    <n v="1"/>
    <n v="-60.607799999999997"/>
    <x v="3"/>
    <x v="1"/>
  </r>
  <r>
    <x v="738"/>
    <x v="535"/>
    <d v="2017-04-03T00:00:00"/>
    <x v="2"/>
    <s v="NC-18535"/>
    <s v="Nick Crebassa"/>
    <x v="1"/>
    <s v="United States"/>
    <x v="28"/>
    <x v="2"/>
    <x v="1"/>
    <s v="FUR-BO-10003894"/>
    <s v="Furniture"/>
    <x v="0"/>
    <s v="Safco Value Mate Steel Bookcase, Baked Enamel Finish on Steel, Black"/>
    <n v="482.66399999999999"/>
    <n v="8"/>
    <n v="85.176000000000002"/>
    <x v="3"/>
    <x v="6"/>
  </r>
  <r>
    <x v="739"/>
    <x v="343"/>
    <d v="2017-06-13T00:00:00"/>
    <x v="0"/>
    <s v="TB-21400"/>
    <s v="Tom Boeckenhauer"/>
    <x v="0"/>
    <s v="United States"/>
    <x v="15"/>
    <x v="13"/>
    <x v="1"/>
    <s v="FUR-BO-10001519"/>
    <s v="Furniture"/>
    <x v="0"/>
    <s v="O'Sullivan 3-Shelf Heavy-Duty Bookcases"/>
    <n v="174.42"/>
    <n v="3"/>
    <n v="41.860799999999998"/>
    <x v="3"/>
    <x v="2"/>
  </r>
  <r>
    <x v="740"/>
    <x v="536"/>
    <d v="2014-12-17T00:00:00"/>
    <x v="1"/>
    <s v="EB-13840"/>
    <s v="Ellis Ballard"/>
    <x v="1"/>
    <s v="United States"/>
    <x v="9"/>
    <x v="8"/>
    <x v="3"/>
    <s v="FUR-FU-10003930"/>
    <s v="Furniture"/>
    <x v="3"/>
    <s v="Howard Miller 12-3/4 Diameter Accuwave DS  Wall Clock"/>
    <n v="94.427999999999997"/>
    <n v="3"/>
    <n v="-42.492600000000003"/>
    <x v="4"/>
    <x v="5"/>
  </r>
  <r>
    <x v="741"/>
    <x v="537"/>
    <d v="2015-01-10T00:00:00"/>
    <x v="1"/>
    <s v="SR-20740"/>
    <s v="Steven Roelle"/>
    <x v="2"/>
    <s v="United States"/>
    <x v="15"/>
    <x v="13"/>
    <x v="1"/>
    <s v="FUR-CH-10003396"/>
    <s v="Furniture"/>
    <x v="1"/>
    <s v="Global Deluxe Steno Chair"/>
    <n v="61.584000000000003"/>
    <n v="1"/>
    <n v="-6.9282000000000004"/>
    <x v="2"/>
    <x v="8"/>
  </r>
  <r>
    <x v="742"/>
    <x v="538"/>
    <d v="2017-07-10T00:00:00"/>
    <x v="1"/>
    <s v="LS-16945"/>
    <s v="Linda Southworth"/>
    <x v="1"/>
    <s v="United States"/>
    <x v="144"/>
    <x v="5"/>
    <x v="3"/>
    <s v="FUR-FU-10003601"/>
    <s v="Furniture"/>
    <x v="3"/>
    <s v="Deflect-o RollaMat Studded, Beveled Mat for Medium Pile Carpeting"/>
    <n v="332.02800000000002"/>
    <n v="9"/>
    <n v="-348.62939999999998"/>
    <x v="2"/>
    <x v="3"/>
  </r>
  <r>
    <x v="743"/>
    <x v="156"/>
    <d v="2017-12-04T00:00:00"/>
    <x v="1"/>
    <s v="LS-16975"/>
    <s v="Lindsay Shagiari"/>
    <x v="2"/>
    <s v="United States"/>
    <x v="237"/>
    <x v="32"/>
    <x v="2"/>
    <s v="FUR-FU-10000576"/>
    <s v="Furniture"/>
    <x v="3"/>
    <s v="Luxo Professional Fluorescent Magnifier Lamp with Clamp-Mount Base"/>
    <n v="1049.2"/>
    <n v="5"/>
    <n v="272.79199999999997"/>
    <x v="6"/>
    <x v="0"/>
  </r>
  <r>
    <x v="743"/>
    <x v="156"/>
    <d v="2017-12-04T00:00:00"/>
    <x v="1"/>
    <s v="LS-16975"/>
    <s v="Lindsay Shagiari"/>
    <x v="2"/>
    <s v="United States"/>
    <x v="237"/>
    <x v="32"/>
    <x v="2"/>
    <s v="FUR-FU-10004270"/>
    <s v="Furniture"/>
    <x v="3"/>
    <s v="Eldon Image Series Desk Accessories, Burgundy"/>
    <n v="20.9"/>
    <n v="5"/>
    <n v="7.524"/>
    <x v="6"/>
    <x v="0"/>
  </r>
  <r>
    <x v="744"/>
    <x v="193"/>
    <d v="2016-12-05T00:00:00"/>
    <x v="0"/>
    <s v="SJ-20500"/>
    <s v="Shirley Jackson"/>
    <x v="0"/>
    <s v="United States"/>
    <x v="130"/>
    <x v="19"/>
    <x v="2"/>
    <s v="FUR-CH-10004997"/>
    <s v="Furniture"/>
    <x v="1"/>
    <s v="Hon Every-Day Series Multi-Task Chairs"/>
    <n v="751.92"/>
    <n v="4"/>
    <n v="150.38399999999999"/>
    <x v="4"/>
    <x v="5"/>
  </r>
  <r>
    <x v="745"/>
    <x v="539"/>
    <d v="2014-09-19T00:00:00"/>
    <x v="3"/>
    <s v="BS-11365"/>
    <s v="Bill Shonely"/>
    <x v="1"/>
    <s v="United States"/>
    <x v="13"/>
    <x v="7"/>
    <x v="2"/>
    <s v="FUR-CH-10000988"/>
    <s v="Furniture"/>
    <x v="1"/>
    <s v="Hon Olson Stacker Stools"/>
    <n v="887.10299999999995"/>
    <n v="7"/>
    <n v="177.42060000000001"/>
    <x v="7"/>
    <x v="4"/>
  </r>
  <r>
    <x v="746"/>
    <x v="540"/>
    <d v="2017-10-16T00:00:00"/>
    <x v="2"/>
    <s v="TS-21610"/>
    <s v="Troy Staebel"/>
    <x v="0"/>
    <s v="United States"/>
    <x v="234"/>
    <x v="8"/>
    <x v="3"/>
    <s v="FUR-FU-10001424"/>
    <s v="Furniture"/>
    <x v="3"/>
    <s v="Dax Clear Box Frame"/>
    <n v="10.476000000000001"/>
    <n v="3"/>
    <n v="-6.8094000000000001"/>
    <x v="0"/>
    <x v="1"/>
  </r>
  <r>
    <x v="747"/>
    <x v="269"/>
    <d v="2016-03-16T00:00:00"/>
    <x v="2"/>
    <s v="MM-18280"/>
    <s v="Muhammed MacIntyre"/>
    <x v="1"/>
    <s v="United States"/>
    <x v="15"/>
    <x v="13"/>
    <x v="1"/>
    <s v="FUR-CH-10002880"/>
    <s v="Furniture"/>
    <x v="1"/>
    <s v="Global High-Back Leather Tilter, Burgundy"/>
    <n v="196.78399999999999"/>
    <n v="2"/>
    <n v="-22.138200000000001"/>
    <x v="3"/>
    <x v="9"/>
  </r>
  <r>
    <x v="748"/>
    <x v="541"/>
    <d v="2016-11-09T00:00:00"/>
    <x v="1"/>
    <s v="EP-13915"/>
    <s v="Emily Phan"/>
    <x v="0"/>
    <s v="United States"/>
    <x v="6"/>
    <x v="5"/>
    <x v="3"/>
    <s v="FUR-TA-10002774"/>
    <s v="Furniture"/>
    <x v="2"/>
    <s v="Laminate Occasional Tables"/>
    <n v="863.12800000000004"/>
    <n v="8"/>
    <n v="-160.29519999999999"/>
    <x v="4"/>
    <x v="0"/>
  </r>
  <r>
    <x v="748"/>
    <x v="541"/>
    <d v="2016-11-09T00:00:00"/>
    <x v="1"/>
    <s v="EP-13915"/>
    <s v="Emily Phan"/>
    <x v="0"/>
    <s v="United States"/>
    <x v="6"/>
    <x v="5"/>
    <x v="3"/>
    <s v="FUR-BO-10000780"/>
    <s v="Furniture"/>
    <x v="0"/>
    <s v="O'Sullivan Plantations 2-Door Library in Landvery Oak"/>
    <n v="956.66480000000001"/>
    <n v="7"/>
    <n v="-225.0976"/>
    <x v="4"/>
    <x v="0"/>
  </r>
  <r>
    <x v="749"/>
    <x v="542"/>
    <d v="2017-06-29T00:00:00"/>
    <x v="0"/>
    <s v="AM-10705"/>
    <s v="Anne McFarland"/>
    <x v="0"/>
    <s v="United States"/>
    <x v="15"/>
    <x v="13"/>
    <x v="1"/>
    <s v="FUR-TA-10000688"/>
    <s v="Furniture"/>
    <x v="2"/>
    <s v="Chromcraft Bull-Nose Wood Round Conference Table Top, Wood Base"/>
    <n v="871.4"/>
    <n v="4"/>
    <n v="148.13800000000001"/>
    <x v="4"/>
    <x v="2"/>
  </r>
  <r>
    <x v="750"/>
    <x v="543"/>
    <d v="2015-11-30T00:00:00"/>
    <x v="1"/>
    <s v="SH-20635"/>
    <s v="Stefanie Holloman"/>
    <x v="1"/>
    <s v="United States"/>
    <x v="38"/>
    <x v="9"/>
    <x v="0"/>
    <s v="FUR-FU-10003930"/>
    <s v="Furniture"/>
    <x v="3"/>
    <s v="Howard Miller 12-3/4 Diameter Accuwave DS  Wall Clock"/>
    <n v="692.47199999999998"/>
    <n v="11"/>
    <n v="190.4298"/>
    <x v="4"/>
    <x v="0"/>
  </r>
  <r>
    <x v="751"/>
    <x v="243"/>
    <d v="2016-11-27T00:00:00"/>
    <x v="0"/>
    <s v="LA-16780"/>
    <s v="Laura Armstrong"/>
    <x v="1"/>
    <s v="United States"/>
    <x v="237"/>
    <x v="32"/>
    <x v="2"/>
    <s v="FUR-FU-10000965"/>
    <s v="Furniture"/>
    <x v="3"/>
    <s v="Howard Miller 11-1/2&quot; Diameter Ridgewood Wall Clock"/>
    <n v="207.76"/>
    <n v="4"/>
    <n v="85.181600000000003"/>
    <x v="0"/>
    <x v="0"/>
  </r>
  <r>
    <x v="752"/>
    <x v="544"/>
    <d v="2016-04-20T00:00:00"/>
    <x v="1"/>
    <s v="BS-11365"/>
    <s v="Bill Shonely"/>
    <x v="1"/>
    <s v="United States"/>
    <x v="174"/>
    <x v="18"/>
    <x v="2"/>
    <s v="FUR-FU-10000550"/>
    <s v="Furniture"/>
    <x v="3"/>
    <s v="Stacking Trays by OIC"/>
    <n v="9.9600000000000009"/>
    <n v="2"/>
    <n v="3.2867999999999999"/>
    <x v="4"/>
    <x v="6"/>
  </r>
  <r>
    <x v="753"/>
    <x v="545"/>
    <d v="2014-11-18T00:00:00"/>
    <x v="1"/>
    <s v="RM-19675"/>
    <s v="Robert Marley"/>
    <x v="2"/>
    <s v="United States"/>
    <x v="13"/>
    <x v="7"/>
    <x v="2"/>
    <s v="FUR-CH-10001797"/>
    <s v="Furniture"/>
    <x v="1"/>
    <s v="Safco Chair Connectors, 6/Carton"/>
    <n v="69.263999999999996"/>
    <n v="2"/>
    <n v="14.622400000000001"/>
    <x v="4"/>
    <x v="0"/>
  </r>
  <r>
    <x v="754"/>
    <x v="32"/>
    <d v="2015-11-26T00:00:00"/>
    <x v="0"/>
    <s v="CA-11965"/>
    <s v="Carol Adams"/>
    <x v="1"/>
    <s v="United States"/>
    <x v="238"/>
    <x v="5"/>
    <x v="3"/>
    <s v="FUR-BO-10003965"/>
    <s v="Furniture"/>
    <x v="0"/>
    <s v="O'Sullivan Manor Hill 2-Door Library in Brianna Oak"/>
    <n v="246.1328"/>
    <n v="2"/>
    <n v="-76.011600000000001"/>
    <x v="2"/>
    <x v="0"/>
  </r>
  <r>
    <x v="755"/>
    <x v="13"/>
    <d v="2017-12-13T00:00:00"/>
    <x v="0"/>
    <s v="AT-10435"/>
    <s v="Alyssa Tate"/>
    <x v="2"/>
    <s v="United States"/>
    <x v="2"/>
    <x v="2"/>
    <x v="1"/>
    <s v="FUR-TA-10003748"/>
    <s v="Furniture"/>
    <x v="2"/>
    <s v="Bevis 36 x 72 Conference Tables"/>
    <n v="896.32799999999997"/>
    <n v="9"/>
    <n v="22.408200000000001"/>
    <x v="4"/>
    <x v="5"/>
  </r>
  <r>
    <x v="756"/>
    <x v="546"/>
    <d v="2017-10-27T00:00:00"/>
    <x v="1"/>
    <s v="DW-13195"/>
    <s v="David Wiener"/>
    <x v="1"/>
    <s v="United States"/>
    <x v="125"/>
    <x v="36"/>
    <x v="1"/>
    <s v="FUR-TA-10002607"/>
    <s v="Furniture"/>
    <x v="2"/>
    <s v="KI Conference Tables"/>
    <n v="177.22499999999999"/>
    <n v="5"/>
    <n v="-120.51300000000001"/>
    <x v="2"/>
    <x v="1"/>
  </r>
  <r>
    <x v="757"/>
    <x v="209"/>
    <d v="2017-07-10T00:00:00"/>
    <x v="1"/>
    <s v="MB-17305"/>
    <s v="Maria Bertelson"/>
    <x v="0"/>
    <s v="United States"/>
    <x v="239"/>
    <x v="2"/>
    <x v="1"/>
    <s v="FUR-FU-10001215"/>
    <s v="Furniture"/>
    <x v="3"/>
    <s v="Howard Miller 11-1/2&quot; Diameter Brentwood Wall Clock"/>
    <n v="129.38999999999999"/>
    <n v="3"/>
    <n v="54.343800000000002"/>
    <x v="1"/>
    <x v="3"/>
  </r>
  <r>
    <x v="758"/>
    <x v="547"/>
    <d v="2017-08-26T00:00:00"/>
    <x v="0"/>
    <s v="PO-18850"/>
    <s v="Patrick O'Brill"/>
    <x v="0"/>
    <s v="United States"/>
    <x v="199"/>
    <x v="1"/>
    <x v="0"/>
    <s v="FUR-FU-10001852"/>
    <s v="Furniture"/>
    <x v="3"/>
    <s v="Eldon Regeneration Recycled Desk Accessories, Smoke"/>
    <n v="2.7839999999999998"/>
    <n v="2"/>
    <n v="0.41760000000000003"/>
    <x v="0"/>
    <x v="10"/>
  </r>
  <r>
    <x v="759"/>
    <x v="548"/>
    <d v="2014-10-30T00:00:00"/>
    <x v="0"/>
    <s v="AH-10585"/>
    <s v="Angele Hood"/>
    <x v="0"/>
    <s v="United States"/>
    <x v="15"/>
    <x v="13"/>
    <x v="1"/>
    <s v="FUR-FU-10000448"/>
    <s v="Furniture"/>
    <x v="3"/>
    <s v="Tenex Chairmats For Use With Carpeted Floors"/>
    <n v="63.92"/>
    <n v="4"/>
    <n v="3.1960000000000002"/>
    <x v="4"/>
    <x v="1"/>
  </r>
  <r>
    <x v="760"/>
    <x v="53"/>
    <d v="2014-11-11T00:00:00"/>
    <x v="1"/>
    <s v="WB-21850"/>
    <s v="William Brown"/>
    <x v="0"/>
    <s v="United States"/>
    <x v="2"/>
    <x v="2"/>
    <x v="1"/>
    <s v="FUR-TA-10002041"/>
    <s v="Furniture"/>
    <x v="2"/>
    <s v="Bevis Round Conference Table Top, X-Base"/>
    <n v="573.72799999999995"/>
    <n v="4"/>
    <n v="-64.544399999999996"/>
    <x v="1"/>
    <x v="0"/>
  </r>
  <r>
    <x v="761"/>
    <x v="549"/>
    <d v="2017-12-11T00:00:00"/>
    <x v="1"/>
    <s v="DC-13285"/>
    <s v="Debra Catini"/>
    <x v="0"/>
    <s v="United States"/>
    <x v="52"/>
    <x v="25"/>
    <x v="0"/>
    <s v="FUR-FU-10000175"/>
    <s v="Furniture"/>
    <x v="3"/>
    <s v="DAX Wood Document Frame."/>
    <n v="82.38"/>
    <n v="6"/>
    <n v="25.537800000000001"/>
    <x v="4"/>
    <x v="5"/>
  </r>
  <r>
    <x v="762"/>
    <x v="274"/>
    <d v="2015-12-24T00:00:00"/>
    <x v="1"/>
    <s v="GZ-14470"/>
    <s v="Gary Zandusky"/>
    <x v="0"/>
    <s v="United States"/>
    <x v="240"/>
    <x v="22"/>
    <x v="1"/>
    <s v="FUR-FU-10002088"/>
    <s v="Furniture"/>
    <x v="3"/>
    <s v="Nu-Dell Float Frame 11 x 14 1/2"/>
    <n v="14.368"/>
    <n v="2"/>
    <n v="3.9512"/>
    <x v="4"/>
    <x v="5"/>
  </r>
  <r>
    <x v="763"/>
    <x v="126"/>
    <d v="2016-09-25T00:00:00"/>
    <x v="1"/>
    <s v="MM-17260"/>
    <s v="Magdelene Morse"/>
    <x v="0"/>
    <s v="United States"/>
    <x v="241"/>
    <x v="7"/>
    <x v="2"/>
    <s v="FUR-CH-10001394"/>
    <s v="Furniture"/>
    <x v="1"/>
    <s v="Global Leather Executive Chair"/>
    <n v="631.78200000000004"/>
    <n v="2"/>
    <n v="140.39599999999999"/>
    <x v="1"/>
    <x v="4"/>
  </r>
  <r>
    <x v="763"/>
    <x v="126"/>
    <d v="2016-09-25T00:00:00"/>
    <x v="1"/>
    <s v="MM-17260"/>
    <s v="Magdelene Morse"/>
    <x v="0"/>
    <s v="United States"/>
    <x v="241"/>
    <x v="7"/>
    <x v="2"/>
    <s v="FUR-FU-10004053"/>
    <s v="Furniture"/>
    <x v="3"/>
    <s v="DAX Two-Tone Silver Metal Document Frame"/>
    <n v="60.72"/>
    <n v="3"/>
    <n v="26.1096"/>
    <x v="1"/>
    <x v="4"/>
  </r>
  <r>
    <x v="764"/>
    <x v="246"/>
    <d v="2017-12-11T00:00:00"/>
    <x v="3"/>
    <s v="RR-19315"/>
    <s v="Ralph Ritter"/>
    <x v="0"/>
    <s v="United States"/>
    <x v="14"/>
    <x v="8"/>
    <x v="3"/>
    <s v="FUR-FU-10004306"/>
    <s v="Furniture"/>
    <x v="3"/>
    <s v="Electrix Halogen Magnifier Lamp"/>
    <n v="77.72"/>
    <n v="1"/>
    <n v="-66.061999999999998"/>
    <x v="7"/>
    <x v="5"/>
  </r>
  <r>
    <x v="764"/>
    <x v="246"/>
    <d v="2017-12-11T00:00:00"/>
    <x v="3"/>
    <s v="RR-19315"/>
    <s v="Ralph Ritter"/>
    <x v="0"/>
    <s v="United States"/>
    <x v="14"/>
    <x v="8"/>
    <x v="3"/>
    <s v="FUR-CH-10003973"/>
    <s v="Furniture"/>
    <x v="1"/>
    <s v="GuestStacker Chair with Chrome Finish Legs"/>
    <n v="520.46400000000006"/>
    <n v="2"/>
    <n v="-14.8704"/>
    <x v="7"/>
    <x v="5"/>
  </r>
  <r>
    <x v="765"/>
    <x v="550"/>
    <d v="2014-04-30T00:00:00"/>
    <x v="1"/>
    <s v="BT-11305"/>
    <s v="Beth Thompson"/>
    <x v="2"/>
    <s v="United States"/>
    <x v="242"/>
    <x v="2"/>
    <x v="1"/>
    <s v="FUR-FU-10003708"/>
    <s v="Furniture"/>
    <x v="3"/>
    <s v="Tenex Traditional Chairmats for Medium Pile Carpet, Standard Lip, 36&quot; x 48&quot;"/>
    <n v="303.25"/>
    <n v="5"/>
    <n v="63.682499999999997"/>
    <x v="2"/>
    <x v="6"/>
  </r>
  <r>
    <x v="765"/>
    <x v="550"/>
    <d v="2014-04-30T00:00:00"/>
    <x v="1"/>
    <s v="BT-11305"/>
    <s v="Beth Thompson"/>
    <x v="2"/>
    <s v="United States"/>
    <x v="242"/>
    <x v="2"/>
    <x v="1"/>
    <s v="FUR-CH-10003973"/>
    <s v="Furniture"/>
    <x v="1"/>
    <s v="GuestStacker Chair with Chrome Finish Legs"/>
    <n v="1487.04"/>
    <n v="5"/>
    <n v="148.70400000000001"/>
    <x v="2"/>
    <x v="6"/>
  </r>
  <r>
    <x v="766"/>
    <x v="551"/>
    <d v="2015-10-30T00:00:00"/>
    <x v="1"/>
    <s v="TB-21625"/>
    <s v="Trudy Brown"/>
    <x v="0"/>
    <s v="United States"/>
    <x v="28"/>
    <x v="2"/>
    <x v="1"/>
    <s v="FUR-TA-10001857"/>
    <s v="Furniture"/>
    <x v="2"/>
    <s v="Balt Solid Wood Rectangular Table"/>
    <n v="253.17599999999999"/>
    <n v="3"/>
    <n v="-31.646999999999998"/>
    <x v="2"/>
    <x v="1"/>
  </r>
  <r>
    <x v="767"/>
    <x v="552"/>
    <d v="2015-07-27T00:00:00"/>
    <x v="1"/>
    <s v="RA-19915"/>
    <s v="Russell Applegate"/>
    <x v="0"/>
    <s v="United States"/>
    <x v="185"/>
    <x v="8"/>
    <x v="3"/>
    <s v="FUR-BO-10004690"/>
    <s v="Furniture"/>
    <x v="0"/>
    <s v="O'Sullivan Cherrywood Estates Traditional Barrister Bookcase"/>
    <n v="384.94400000000002"/>
    <n v="4"/>
    <n v="-126.4816"/>
    <x v="1"/>
    <x v="3"/>
  </r>
  <r>
    <x v="767"/>
    <x v="552"/>
    <d v="2015-07-27T00:00:00"/>
    <x v="1"/>
    <s v="RA-19915"/>
    <s v="Russell Applegate"/>
    <x v="0"/>
    <s v="United States"/>
    <x v="185"/>
    <x v="8"/>
    <x v="3"/>
    <s v="FUR-BO-10002545"/>
    <s v="Furniture"/>
    <x v="0"/>
    <s v="Atlantic Metals Mobile 3-Shelf Bookcases, Custom Colors"/>
    <n v="913.43"/>
    <n v="5"/>
    <n v="-52.195999999999998"/>
    <x v="1"/>
    <x v="3"/>
  </r>
  <r>
    <x v="768"/>
    <x v="93"/>
    <d v="2017-11-22T00:00:00"/>
    <x v="2"/>
    <s v="CD-11920"/>
    <s v="Carlos Daly"/>
    <x v="0"/>
    <s v="United States"/>
    <x v="13"/>
    <x v="7"/>
    <x v="2"/>
    <s v="FUR-BO-10003159"/>
    <s v="Furniture"/>
    <x v="0"/>
    <s v="Sauder Camden County Collection Libraries, Planked Cherry Finish"/>
    <n v="183.96799999999999"/>
    <n v="2"/>
    <n v="-25.2956"/>
    <x v="3"/>
    <x v="0"/>
  </r>
  <r>
    <x v="769"/>
    <x v="553"/>
    <d v="2014-07-11T00:00:00"/>
    <x v="1"/>
    <s v="JL-15835"/>
    <s v="John Lee"/>
    <x v="0"/>
    <s v="United States"/>
    <x v="3"/>
    <x v="3"/>
    <x v="2"/>
    <s v="FUR-CH-10002880"/>
    <s v="Furniture"/>
    <x v="1"/>
    <s v="Global High-Back Leather Tilter, Burgundy"/>
    <n v="172.18600000000001"/>
    <n v="2"/>
    <n v="-46.736199999999997"/>
    <x v="4"/>
    <x v="3"/>
  </r>
  <r>
    <x v="769"/>
    <x v="553"/>
    <d v="2014-07-11T00:00:00"/>
    <x v="1"/>
    <s v="JL-15835"/>
    <s v="John Lee"/>
    <x v="0"/>
    <s v="United States"/>
    <x v="3"/>
    <x v="3"/>
    <x v="2"/>
    <s v="FUR-FU-10003039"/>
    <s v="Furniture"/>
    <x v="3"/>
    <s v="Howard Miller 11-1/2&quot; Diameter Grantwood Wall Clock"/>
    <n v="69.007999999999996"/>
    <n v="2"/>
    <n v="12.0764"/>
    <x v="4"/>
    <x v="3"/>
  </r>
  <r>
    <x v="770"/>
    <x v="554"/>
    <d v="2016-03-17T00:00:00"/>
    <x v="3"/>
    <s v="GZ-14470"/>
    <s v="Gary Zandusky"/>
    <x v="0"/>
    <s v="United States"/>
    <x v="11"/>
    <x v="32"/>
    <x v="2"/>
    <s v="FUR-FU-10004306"/>
    <s v="Furniture"/>
    <x v="3"/>
    <s v="Electrix Halogen Magnifier Lamp"/>
    <n v="971.5"/>
    <n v="5"/>
    <n v="252.59"/>
    <x v="7"/>
    <x v="9"/>
  </r>
  <r>
    <x v="771"/>
    <x v="191"/>
    <d v="2014-12-27T00:00:00"/>
    <x v="1"/>
    <s v="MH-17455"/>
    <s v="Mark Hamilton"/>
    <x v="0"/>
    <s v="United States"/>
    <x v="243"/>
    <x v="15"/>
    <x v="2"/>
    <s v="FUR-FU-10003773"/>
    <s v="Furniture"/>
    <x v="3"/>
    <s v="Eldon Cleatmat Plus Chair Mats for High Pile Carpets"/>
    <n v="190.84800000000001"/>
    <n v="3"/>
    <n v="-21.470400000000001"/>
    <x v="1"/>
    <x v="5"/>
  </r>
  <r>
    <x v="772"/>
    <x v="514"/>
    <d v="2017-05-19T00:00:00"/>
    <x v="2"/>
    <s v="TB-21355"/>
    <s v="Todd Boyes"/>
    <x v="1"/>
    <s v="United States"/>
    <x v="244"/>
    <x v="24"/>
    <x v="0"/>
    <s v="FUR-BO-10003546"/>
    <s v="Furniture"/>
    <x v="0"/>
    <s v="Hon 4-Shelf Metal Bookcases"/>
    <n v="302.94"/>
    <n v="3"/>
    <n v="75.734999999999999"/>
    <x v="5"/>
    <x v="7"/>
  </r>
  <r>
    <x v="773"/>
    <x v="555"/>
    <d v="2017-03-27T00:00:00"/>
    <x v="1"/>
    <s v="CL-12565"/>
    <s v="Clay Ludtke"/>
    <x v="0"/>
    <s v="United States"/>
    <x v="169"/>
    <x v="37"/>
    <x v="3"/>
    <s v="FUR-CH-10004495"/>
    <s v="Furniture"/>
    <x v="1"/>
    <s v="Global Leather and Oak Executive Chair, Black"/>
    <n v="1805.88"/>
    <n v="6"/>
    <n v="523.70519999999999"/>
    <x v="6"/>
    <x v="9"/>
  </r>
  <r>
    <x v="774"/>
    <x v="361"/>
    <d v="2016-11-08T00:00:00"/>
    <x v="0"/>
    <s v="AP-10915"/>
    <s v="Arthur Prichep"/>
    <x v="0"/>
    <s v="United States"/>
    <x v="0"/>
    <x v="0"/>
    <x v="0"/>
    <s v="FUR-FU-10002885"/>
    <s v="Furniture"/>
    <x v="3"/>
    <s v="Magna Visual Magnetic Picture Hangers"/>
    <n v="24.1"/>
    <n v="5"/>
    <n v="9.1579999999999995"/>
    <x v="2"/>
    <x v="0"/>
  </r>
  <r>
    <x v="774"/>
    <x v="361"/>
    <d v="2016-11-08T00:00:00"/>
    <x v="0"/>
    <s v="AP-10915"/>
    <s v="Arthur Prichep"/>
    <x v="0"/>
    <s v="United States"/>
    <x v="0"/>
    <x v="0"/>
    <x v="0"/>
    <s v="FUR-TA-10003392"/>
    <s v="Furniture"/>
    <x v="2"/>
    <s v="Global Adaptabilities Conference Tables"/>
    <n v="842.94"/>
    <n v="3"/>
    <n v="160.15860000000001"/>
    <x v="2"/>
    <x v="0"/>
  </r>
  <r>
    <x v="775"/>
    <x v="556"/>
    <d v="2015-06-23T00:00:00"/>
    <x v="1"/>
    <s v="LH-17155"/>
    <s v="Logan Haushalter"/>
    <x v="0"/>
    <s v="United States"/>
    <x v="2"/>
    <x v="2"/>
    <x v="1"/>
    <s v="FUR-FU-10000732"/>
    <s v="Furniture"/>
    <x v="3"/>
    <s v="Eldon 200 Class Desk Accessories"/>
    <n v="12.56"/>
    <n v="2"/>
    <n v="4.0191999999999997"/>
    <x v="4"/>
    <x v="2"/>
  </r>
  <r>
    <x v="776"/>
    <x v="557"/>
    <d v="2016-07-06T00:00:00"/>
    <x v="2"/>
    <s v="AA-10645"/>
    <s v="Anna Andreadi"/>
    <x v="0"/>
    <s v="United States"/>
    <x v="28"/>
    <x v="2"/>
    <x v="1"/>
    <s v="FUR-FU-10000221"/>
    <s v="Furniture"/>
    <x v="3"/>
    <s v="Master Caster Door Stop, Brown"/>
    <n v="25.4"/>
    <n v="5"/>
    <n v="8.6359999999999992"/>
    <x v="3"/>
    <x v="3"/>
  </r>
  <r>
    <x v="776"/>
    <x v="557"/>
    <d v="2016-07-06T00:00:00"/>
    <x v="2"/>
    <s v="AA-10645"/>
    <s v="Anna Andreadi"/>
    <x v="0"/>
    <s v="United States"/>
    <x v="28"/>
    <x v="2"/>
    <x v="1"/>
    <s v="FUR-BO-10001811"/>
    <s v="Furniture"/>
    <x v="0"/>
    <s v="Atlantic Metals Mobile 5-Shelf Bookcases, Custom Colors"/>
    <n v="1279.165"/>
    <n v="5"/>
    <n v="225.73500000000001"/>
    <x v="3"/>
    <x v="3"/>
  </r>
  <r>
    <x v="777"/>
    <x v="558"/>
    <d v="2015-09-08T00:00:00"/>
    <x v="1"/>
    <s v="AS-10630"/>
    <s v="Ann Steele"/>
    <x v="2"/>
    <s v="United States"/>
    <x v="28"/>
    <x v="2"/>
    <x v="1"/>
    <s v="FUR-CH-10002372"/>
    <s v="Furniture"/>
    <x v="1"/>
    <s v="Office Star - Ergonomically Designed Knee Chair"/>
    <n v="129.56800000000001"/>
    <n v="2"/>
    <n v="-12.956799999999999"/>
    <x v="2"/>
    <x v="4"/>
  </r>
  <r>
    <x v="778"/>
    <x v="559"/>
    <d v="2017-10-01T00:00:00"/>
    <x v="2"/>
    <s v="DS-13030"/>
    <s v="Darrin Sayre"/>
    <x v="2"/>
    <s v="United States"/>
    <x v="14"/>
    <x v="12"/>
    <x v="1"/>
    <s v="FUR-FU-10001979"/>
    <s v="Furniture"/>
    <x v="3"/>
    <s v="Dana Halogen Swing-Arm Architect Lamp"/>
    <n v="32.776000000000003"/>
    <n v="1"/>
    <n v="3.2776000000000001"/>
    <x v="0"/>
    <x v="4"/>
  </r>
  <r>
    <x v="779"/>
    <x v="241"/>
    <d v="2017-12-01T00:00:00"/>
    <x v="1"/>
    <s v="KA-16525"/>
    <s v="Kelly Andreada"/>
    <x v="0"/>
    <s v="United States"/>
    <x v="13"/>
    <x v="7"/>
    <x v="2"/>
    <s v="FUR-BO-10000780"/>
    <s v="Furniture"/>
    <x v="0"/>
    <s v="O'Sullivan Plantations 2-Door Library in Landvery Oak"/>
    <n v="321.56799999999998"/>
    <n v="2"/>
    <n v="-16.078399999999998"/>
    <x v="1"/>
    <x v="0"/>
  </r>
  <r>
    <x v="780"/>
    <x v="258"/>
    <d v="2017-05-12T00:00:00"/>
    <x v="1"/>
    <s v="DJ-13510"/>
    <s v="Don Jones"/>
    <x v="1"/>
    <s v="United States"/>
    <x v="3"/>
    <x v="3"/>
    <x v="2"/>
    <s v="FUR-CH-10003535"/>
    <s v="Furniture"/>
    <x v="1"/>
    <s v="Global Armless Task Chair, Royal Blue"/>
    <n v="128.05799999999999"/>
    <n v="3"/>
    <n v="-23.7822"/>
    <x v="4"/>
    <x v="7"/>
  </r>
  <r>
    <x v="781"/>
    <x v="560"/>
    <d v="2017-09-29T00:00:00"/>
    <x v="3"/>
    <s v="MG-17680"/>
    <s v="Maureen Gastineau"/>
    <x v="2"/>
    <s v="United States"/>
    <x v="245"/>
    <x v="15"/>
    <x v="2"/>
    <s v="FUR-CH-10003774"/>
    <s v="Furniture"/>
    <x v="1"/>
    <s v="Global Wood Trimmed Manager's Task Chair, Khaki"/>
    <n v="63.686"/>
    <n v="1"/>
    <n v="-15.4666"/>
    <x v="7"/>
    <x v="4"/>
  </r>
  <r>
    <x v="781"/>
    <x v="560"/>
    <d v="2017-09-29T00:00:00"/>
    <x v="3"/>
    <s v="MG-17680"/>
    <s v="Maureen Gastineau"/>
    <x v="2"/>
    <s v="United States"/>
    <x v="245"/>
    <x v="15"/>
    <x v="2"/>
    <s v="FUR-TA-10004442"/>
    <s v="Furniture"/>
    <x v="2"/>
    <s v="Riverside Furniture Stanwyck Manor Table Series"/>
    <n v="344.22"/>
    <n v="2"/>
    <n v="-189.321"/>
    <x v="7"/>
    <x v="4"/>
  </r>
  <r>
    <x v="781"/>
    <x v="560"/>
    <d v="2017-09-29T00:00:00"/>
    <x v="3"/>
    <s v="MG-17680"/>
    <s v="Maureen Gastineau"/>
    <x v="2"/>
    <s v="United States"/>
    <x v="245"/>
    <x v="15"/>
    <x v="2"/>
    <s v="FUR-FU-10004586"/>
    <s v="Furniture"/>
    <x v="3"/>
    <s v="G.E. Longer-Life Indoor Recessed Floodlight Bulbs"/>
    <n v="21.248000000000001"/>
    <n v="4"/>
    <n v="7.4367999999999999"/>
    <x v="7"/>
    <x v="4"/>
  </r>
  <r>
    <x v="782"/>
    <x v="546"/>
    <d v="2017-10-22T00:00:00"/>
    <x v="3"/>
    <s v="BD-11620"/>
    <s v="Brian DeCherney"/>
    <x v="0"/>
    <s v="United States"/>
    <x v="246"/>
    <x v="37"/>
    <x v="3"/>
    <s v="FUR-TA-10003748"/>
    <s v="Furniture"/>
    <x v="2"/>
    <s v="Bevis 36 x 72 Conference Tables"/>
    <n v="248.98"/>
    <n v="2"/>
    <n v="54.775599999999997"/>
    <x v="7"/>
    <x v="1"/>
  </r>
  <r>
    <x v="783"/>
    <x v="561"/>
    <d v="2017-08-21T00:00:00"/>
    <x v="1"/>
    <s v="JM-15250"/>
    <s v="Janet Martin"/>
    <x v="0"/>
    <s v="United States"/>
    <x v="2"/>
    <x v="2"/>
    <x v="1"/>
    <s v="FUR-TA-10001095"/>
    <s v="Furniture"/>
    <x v="2"/>
    <s v="Chromcraft Round Conference Tables"/>
    <n v="418.29599999999999"/>
    <n v="3"/>
    <n v="5.2286999999999999"/>
    <x v="1"/>
    <x v="10"/>
  </r>
  <r>
    <x v="784"/>
    <x v="280"/>
    <d v="2014-12-03T00:00:00"/>
    <x v="0"/>
    <s v="JK-15730"/>
    <s v="Joe Kamberova"/>
    <x v="0"/>
    <s v="United States"/>
    <x v="29"/>
    <x v="15"/>
    <x v="2"/>
    <s v="FUR-FU-10000221"/>
    <s v="Furniture"/>
    <x v="3"/>
    <s v="Master Caster Door Stop, Brown"/>
    <n v="8.1280000000000001"/>
    <n v="2"/>
    <n v="1.4224000000000001"/>
    <x v="3"/>
    <x v="5"/>
  </r>
  <r>
    <x v="784"/>
    <x v="280"/>
    <d v="2014-12-03T00:00:00"/>
    <x v="0"/>
    <s v="JK-15730"/>
    <s v="Joe Kamberova"/>
    <x v="0"/>
    <s v="United States"/>
    <x v="29"/>
    <x v="15"/>
    <x v="2"/>
    <s v="FUR-CH-10000015"/>
    <s v="Furniture"/>
    <x v="1"/>
    <s v="Hon Multipurpose Stacking Arm Chairs"/>
    <n v="909.72"/>
    <n v="6"/>
    <n v="-51.984000000000002"/>
    <x v="3"/>
    <x v="5"/>
  </r>
  <r>
    <x v="785"/>
    <x v="562"/>
    <d v="2017-06-23T00:00:00"/>
    <x v="1"/>
    <s v="CC-12670"/>
    <s v="Craig Carreira"/>
    <x v="0"/>
    <s v="United States"/>
    <x v="2"/>
    <x v="2"/>
    <x v="1"/>
    <s v="FUR-BO-10004015"/>
    <s v="Furniture"/>
    <x v="0"/>
    <s v="Bush Andora Bookcase, Maple/Graphite Gray Finish"/>
    <n v="917.92349999999999"/>
    <n v="9"/>
    <n v="75.593699999999998"/>
    <x v="2"/>
    <x v="2"/>
  </r>
  <r>
    <x v="786"/>
    <x v="109"/>
    <d v="2014-12-29T00:00:00"/>
    <x v="1"/>
    <s v="BF-11170"/>
    <s v="Ben Ferrer"/>
    <x v="2"/>
    <s v="United States"/>
    <x v="2"/>
    <x v="2"/>
    <x v="1"/>
    <s v="FUR-FU-10002554"/>
    <s v="Furniture"/>
    <x v="3"/>
    <s v="Westinghouse Floor Lamp with Metal Mesh Shade, Black"/>
    <n v="23.99"/>
    <n v="1"/>
    <n v="5.5176999999999996"/>
    <x v="2"/>
    <x v="5"/>
  </r>
  <r>
    <x v="787"/>
    <x v="563"/>
    <d v="2017-05-29T00:00:00"/>
    <x v="1"/>
    <s v="VS-21820"/>
    <s v="Vivek Sundaresam"/>
    <x v="0"/>
    <s v="United States"/>
    <x v="2"/>
    <x v="2"/>
    <x v="1"/>
    <s v="FUR-TA-10001520"/>
    <s v="Furniture"/>
    <x v="2"/>
    <s v="Lesro Sheffield Collection Coffee Table, End Table, Center Table, Corner Table"/>
    <n v="171.28800000000001"/>
    <n v="3"/>
    <n v="-6.4233000000000002"/>
    <x v="6"/>
    <x v="7"/>
  </r>
  <r>
    <x v="788"/>
    <x v="480"/>
    <d v="2016-11-14T00:00:00"/>
    <x v="1"/>
    <s v="KM-16225"/>
    <s v="Kalyca Meade"/>
    <x v="1"/>
    <s v="United States"/>
    <x v="76"/>
    <x v="23"/>
    <x v="3"/>
    <s v="FUR-FU-10001085"/>
    <s v="Furniture"/>
    <x v="3"/>
    <s v="3M Polarizing Light Filter Sleeves"/>
    <n v="37.299999999999997"/>
    <n v="2"/>
    <n v="17.158000000000001"/>
    <x v="4"/>
    <x v="0"/>
  </r>
  <r>
    <x v="789"/>
    <x v="78"/>
    <d v="2016-11-01T00:00:00"/>
    <x v="0"/>
    <s v="BW-11200"/>
    <s v="Ben Wallace"/>
    <x v="0"/>
    <s v="United States"/>
    <x v="247"/>
    <x v="25"/>
    <x v="0"/>
    <s v="FUR-CH-10000847"/>
    <s v="Furniture"/>
    <x v="1"/>
    <s v="Global Executive Mid-Back Manager's Chair"/>
    <n v="290.98"/>
    <n v="1"/>
    <n v="75.654799999999994"/>
    <x v="2"/>
    <x v="1"/>
  </r>
  <r>
    <x v="790"/>
    <x v="564"/>
    <d v="2014-02-26T00:00:00"/>
    <x v="1"/>
    <s v="LC-16930"/>
    <s v="Linda Cazamias"/>
    <x v="1"/>
    <s v="United States"/>
    <x v="52"/>
    <x v="6"/>
    <x v="3"/>
    <s v="FUR-FU-10000221"/>
    <s v="Furniture"/>
    <x v="3"/>
    <s v="Master Caster Door Stop, Brown"/>
    <n v="20.32"/>
    <n v="4"/>
    <n v="6.9088000000000003"/>
    <x v="6"/>
    <x v="11"/>
  </r>
  <r>
    <x v="791"/>
    <x v="565"/>
    <d v="2014-11-06T00:00:00"/>
    <x v="1"/>
    <s v="RD-19720"/>
    <s v="Roger Demir"/>
    <x v="0"/>
    <s v="United States"/>
    <x v="13"/>
    <x v="7"/>
    <x v="2"/>
    <s v="FUR-FU-10004018"/>
    <s v="Furniture"/>
    <x v="3"/>
    <s v="Tensor Computer Mounted Lamp"/>
    <n v="89.34"/>
    <n v="6"/>
    <n v="24.1218"/>
    <x v="4"/>
    <x v="0"/>
  </r>
  <r>
    <x v="792"/>
    <x v="357"/>
    <d v="2017-07-23T00:00:00"/>
    <x v="1"/>
    <s v="BE-11335"/>
    <s v="Bill Eplett"/>
    <x v="2"/>
    <s v="United States"/>
    <x v="248"/>
    <x v="7"/>
    <x v="2"/>
    <s v="FUR-FU-10004848"/>
    <s v="Furniture"/>
    <x v="3"/>
    <s v="DAX Solid Wood Frames"/>
    <n v="39.08"/>
    <n v="4"/>
    <n v="14.4596"/>
    <x v="6"/>
    <x v="3"/>
  </r>
  <r>
    <x v="793"/>
    <x v="566"/>
    <d v="2016-11-17T00:00:00"/>
    <x v="2"/>
    <s v="MB-17305"/>
    <s v="Maria Bertelson"/>
    <x v="0"/>
    <s v="United States"/>
    <x v="13"/>
    <x v="7"/>
    <x v="2"/>
    <s v="FUR-CH-10002335"/>
    <s v="Furniture"/>
    <x v="1"/>
    <s v="Hon GuestStacker Chair"/>
    <n v="408.00599999999997"/>
    <n v="2"/>
    <n v="72.534400000000005"/>
    <x v="0"/>
    <x v="0"/>
  </r>
  <r>
    <x v="794"/>
    <x v="567"/>
    <d v="2014-10-10T00:00:00"/>
    <x v="3"/>
    <s v="TN-21040"/>
    <s v="Tanja Norvell"/>
    <x v="2"/>
    <s v="United States"/>
    <x v="249"/>
    <x v="2"/>
    <x v="1"/>
    <s v="FUR-CH-10002774"/>
    <s v="Furniture"/>
    <x v="1"/>
    <s v="Global Deluxe Stacking Chair, Gray"/>
    <n v="122.352"/>
    <n v="3"/>
    <n v="13.7646"/>
    <x v="7"/>
    <x v="1"/>
  </r>
  <r>
    <x v="795"/>
    <x v="220"/>
    <d v="2017-07-12T00:00:00"/>
    <x v="1"/>
    <s v="VF-21715"/>
    <s v="Vicky Freymann"/>
    <x v="2"/>
    <s v="United States"/>
    <x v="15"/>
    <x v="13"/>
    <x v="1"/>
    <s v="FUR-FU-10003142"/>
    <s v="Furniture"/>
    <x v="3"/>
    <s v="Master Big Foot Doorstop, Beige"/>
    <n v="15.84"/>
    <n v="3"/>
    <n v="4.9104000000000001"/>
    <x v="4"/>
    <x v="3"/>
  </r>
  <r>
    <x v="796"/>
    <x v="568"/>
    <d v="2015-03-02T00:00:00"/>
    <x v="1"/>
    <s v="ES-14080"/>
    <s v="Erin Smith"/>
    <x v="1"/>
    <s v="United States"/>
    <x v="134"/>
    <x v="38"/>
    <x v="2"/>
    <s v="FUR-TA-10004152"/>
    <s v="Furniture"/>
    <x v="2"/>
    <s v="Barricks 18&quot; x 48&quot; Non-Folding Utility Table with Bottom Storage Shelf"/>
    <n v="493.92"/>
    <n v="7"/>
    <n v="-28.224"/>
    <x v="0"/>
    <x v="11"/>
  </r>
  <r>
    <x v="797"/>
    <x v="569"/>
    <d v="2015-07-17T00:00:00"/>
    <x v="0"/>
    <s v="RL-19615"/>
    <s v="Rob Lucas"/>
    <x v="0"/>
    <s v="United States"/>
    <x v="9"/>
    <x v="8"/>
    <x v="3"/>
    <s v="FUR-CH-10004477"/>
    <s v="Furniture"/>
    <x v="1"/>
    <s v="Global Push Button Manager's Chair, Indigo"/>
    <n v="383.60700000000003"/>
    <n v="9"/>
    <n v="-5.4801000000000002"/>
    <x v="2"/>
    <x v="3"/>
  </r>
  <r>
    <x v="797"/>
    <x v="569"/>
    <d v="2015-07-17T00:00:00"/>
    <x v="0"/>
    <s v="RL-19615"/>
    <s v="Rob Lucas"/>
    <x v="0"/>
    <s v="United States"/>
    <x v="9"/>
    <x v="8"/>
    <x v="3"/>
    <s v="FUR-FU-10001861"/>
    <s v="Furniture"/>
    <x v="3"/>
    <s v="Floodlight Indoor Halogen Bulbs, 1 Bulb per Pack, 60 Watts"/>
    <n v="7.76"/>
    <n v="1"/>
    <n v="-2.1339999999999999"/>
    <x v="2"/>
    <x v="3"/>
  </r>
  <r>
    <x v="798"/>
    <x v="570"/>
    <d v="2014-07-17T00:00:00"/>
    <x v="1"/>
    <s v="GK-14620"/>
    <s v="Grace Kelly"/>
    <x v="1"/>
    <s v="United States"/>
    <x v="2"/>
    <x v="2"/>
    <x v="1"/>
    <s v="FUR-TA-10002855"/>
    <s v="Furniture"/>
    <x v="2"/>
    <s v="Bevis Round Conference Table Top &amp; Single Column Base"/>
    <n v="351.21600000000001"/>
    <n v="3"/>
    <n v="4.3902000000000001"/>
    <x v="4"/>
    <x v="3"/>
  </r>
  <r>
    <x v="799"/>
    <x v="421"/>
    <d v="2015-01-02T00:00:00"/>
    <x v="1"/>
    <s v="JF-15490"/>
    <s v="Jeremy Farry"/>
    <x v="0"/>
    <s v="United States"/>
    <x v="28"/>
    <x v="2"/>
    <x v="1"/>
    <s v="FUR-CH-10004886"/>
    <s v="Furniture"/>
    <x v="1"/>
    <s v="Bevis Steel Folding Chairs"/>
    <n v="230.28"/>
    <n v="3"/>
    <n v="23.027999999999999"/>
    <x v="6"/>
    <x v="5"/>
  </r>
  <r>
    <x v="800"/>
    <x v="571"/>
    <d v="2014-05-08T00:00:00"/>
    <x v="2"/>
    <s v="EB-13870"/>
    <s v="Emily Burns"/>
    <x v="0"/>
    <s v="United States"/>
    <x v="21"/>
    <x v="5"/>
    <x v="3"/>
    <s v="FUR-CH-10001146"/>
    <s v="Furniture"/>
    <x v="1"/>
    <s v="Global Value Mid-Back Manager's Chair, Gray"/>
    <n v="127.869"/>
    <n v="3"/>
    <n v="-9.1334999999999997"/>
    <x v="0"/>
    <x v="7"/>
  </r>
  <r>
    <x v="801"/>
    <x v="463"/>
    <d v="2015-12-09T00:00:00"/>
    <x v="0"/>
    <s v="HM-14860"/>
    <s v="Harry Marie"/>
    <x v="1"/>
    <s v="United States"/>
    <x v="2"/>
    <x v="2"/>
    <x v="1"/>
    <s v="FUR-FU-10002111"/>
    <s v="Furniture"/>
    <x v="3"/>
    <s v="Master Caster Door Stop, Large Brown"/>
    <n v="36.4"/>
    <n v="5"/>
    <n v="13.832000000000001"/>
    <x v="2"/>
    <x v="5"/>
  </r>
  <r>
    <x v="802"/>
    <x v="572"/>
    <d v="2017-09-30T00:00:00"/>
    <x v="1"/>
    <s v="SJ-20125"/>
    <s v="Sanjit Jacobs"/>
    <x v="2"/>
    <s v="United States"/>
    <x v="232"/>
    <x v="1"/>
    <x v="0"/>
    <s v="FUR-CH-10003298"/>
    <s v="Furniture"/>
    <x v="1"/>
    <s v="Office Star - Contemporary Task Swivel chair with Loop Arms, Charcoal"/>
    <n v="419.13600000000002"/>
    <n v="4"/>
    <n v="-57.6312"/>
    <x v="4"/>
    <x v="4"/>
  </r>
  <r>
    <x v="803"/>
    <x v="573"/>
    <d v="2014-04-21T00:00:00"/>
    <x v="0"/>
    <s v="NF-18595"/>
    <s v="Nicole Fjeld"/>
    <x v="2"/>
    <s v="United States"/>
    <x v="124"/>
    <x v="2"/>
    <x v="1"/>
    <s v="FUR-FU-10004017"/>
    <s v="Furniture"/>
    <x v="3"/>
    <s v="Executive Impressions 13&quot; Chairman Wall Clock"/>
    <n v="76.14"/>
    <n v="3"/>
    <n v="26.649000000000001"/>
    <x v="3"/>
    <x v="6"/>
  </r>
  <r>
    <x v="804"/>
    <x v="574"/>
    <d v="2016-12-18T00:00:00"/>
    <x v="1"/>
    <s v="MG-17650"/>
    <s v="Matthew Grinstein"/>
    <x v="2"/>
    <s v="United States"/>
    <x v="38"/>
    <x v="17"/>
    <x v="3"/>
    <s v="FUR-FU-10003724"/>
    <s v="Furniture"/>
    <x v="3"/>
    <s v="Westinghouse Clip-On Gooseneck Lamps"/>
    <n v="33.479999999999997"/>
    <n v="4"/>
    <n v="8.7048000000000005"/>
    <x v="6"/>
    <x v="5"/>
  </r>
  <r>
    <x v="805"/>
    <x v="107"/>
    <d v="2016-09-22T00:00:00"/>
    <x v="2"/>
    <s v="AP-10720"/>
    <s v="Anne Pryor"/>
    <x v="2"/>
    <s v="United States"/>
    <x v="3"/>
    <x v="3"/>
    <x v="2"/>
    <s v="FUR-FU-10003424"/>
    <s v="Furniture"/>
    <x v="3"/>
    <s v="Nu-Dell Oak Frame"/>
    <n v="25.632000000000001"/>
    <n v="3"/>
    <n v="3.8448000000000002"/>
    <x v="0"/>
    <x v="4"/>
  </r>
  <r>
    <x v="806"/>
    <x v="575"/>
    <d v="2017-11-04T00:00:00"/>
    <x v="0"/>
    <s v="NL-18310"/>
    <s v="Nancy Lomonaco"/>
    <x v="2"/>
    <s v="United States"/>
    <x v="250"/>
    <x v="2"/>
    <x v="1"/>
    <s v="FUR-FU-10002508"/>
    <s v="Furniture"/>
    <x v="3"/>
    <s v="Document Clip Frames"/>
    <n v="25.02"/>
    <n v="3"/>
    <n v="10.5084"/>
    <x v="3"/>
    <x v="0"/>
  </r>
  <r>
    <x v="807"/>
    <x v="576"/>
    <d v="2016-12-31T00:00:00"/>
    <x v="1"/>
    <s v="MC-18130"/>
    <s v="Mike Caudle"/>
    <x v="1"/>
    <s v="United States"/>
    <x v="2"/>
    <x v="2"/>
    <x v="1"/>
    <s v="FUR-CH-10003535"/>
    <s v="Furniture"/>
    <x v="1"/>
    <s v="Global Armless Task Chair, Royal Blue"/>
    <n v="146.352"/>
    <n v="3"/>
    <n v="-5.4882"/>
    <x v="2"/>
    <x v="5"/>
  </r>
  <r>
    <x v="807"/>
    <x v="576"/>
    <d v="2016-12-31T00:00:00"/>
    <x v="1"/>
    <s v="MC-18130"/>
    <s v="Mike Caudle"/>
    <x v="1"/>
    <s v="United States"/>
    <x v="2"/>
    <x v="2"/>
    <x v="1"/>
    <s v="FUR-TA-10003473"/>
    <s v="Furniture"/>
    <x v="2"/>
    <s v="Bretford Rectangular Conference Table Tops"/>
    <n v="902.71199999999999"/>
    <n v="3"/>
    <n v="33.851700000000001"/>
    <x v="2"/>
    <x v="5"/>
  </r>
  <r>
    <x v="808"/>
    <x v="370"/>
    <d v="2015-07-20T00:00:00"/>
    <x v="1"/>
    <s v="MG-17890"/>
    <s v="Michael Granlund"/>
    <x v="2"/>
    <s v="United States"/>
    <x v="237"/>
    <x v="32"/>
    <x v="2"/>
    <s v="FUR-CH-10004853"/>
    <s v="Furniture"/>
    <x v="1"/>
    <s v="Global Manager's Adjustable Task Chair, Storm"/>
    <n v="150.97999999999999"/>
    <n v="1"/>
    <n v="43.784199999999998"/>
    <x v="4"/>
    <x v="3"/>
  </r>
  <r>
    <x v="809"/>
    <x v="17"/>
    <d v="2017-11-14T00:00:00"/>
    <x v="1"/>
    <s v="JE-15745"/>
    <s v="Joel Eaton"/>
    <x v="0"/>
    <s v="United States"/>
    <x v="64"/>
    <x v="2"/>
    <x v="1"/>
    <s v="FUR-FU-10000023"/>
    <s v="Furniture"/>
    <x v="3"/>
    <s v="Eldon Wave Desk Accessories"/>
    <n v="47.12"/>
    <n v="8"/>
    <n v="20.732800000000001"/>
    <x v="2"/>
    <x v="0"/>
  </r>
  <r>
    <x v="810"/>
    <x v="231"/>
    <d v="2015-09-26T00:00:00"/>
    <x v="1"/>
    <s v="TH-21550"/>
    <s v="Tracy Hopkins"/>
    <x v="2"/>
    <s v="United States"/>
    <x v="114"/>
    <x v="20"/>
    <x v="2"/>
    <s v="FUR-CH-10000785"/>
    <s v="Furniture"/>
    <x v="1"/>
    <s v="Global Ergonomic Managers Chair"/>
    <n v="542.94000000000005"/>
    <n v="3"/>
    <n v="141.1644"/>
    <x v="2"/>
    <x v="4"/>
  </r>
  <r>
    <x v="811"/>
    <x v="198"/>
    <d v="2017-09-14T00:00:00"/>
    <x v="1"/>
    <s v="SO-20335"/>
    <s v="Sean O'Donnell"/>
    <x v="0"/>
    <s v="United States"/>
    <x v="11"/>
    <x v="9"/>
    <x v="0"/>
    <s v="FUR-FU-10000023"/>
    <s v="Furniture"/>
    <x v="3"/>
    <s v="Eldon Wave Desk Accessories"/>
    <n v="14.135999999999999"/>
    <n v="3"/>
    <n v="4.2408000000000001"/>
    <x v="2"/>
    <x v="4"/>
  </r>
  <r>
    <x v="812"/>
    <x v="233"/>
    <d v="2015-10-15T00:00:00"/>
    <x v="3"/>
    <s v="GA-14725"/>
    <s v="Guy Armstrong"/>
    <x v="0"/>
    <s v="United States"/>
    <x v="189"/>
    <x v="17"/>
    <x v="3"/>
    <s v="FUR-FU-10000719"/>
    <s v="Furniture"/>
    <x v="3"/>
    <s v="DAX Cubicle Frames, 8-1/2 x 11"/>
    <n v="17.14"/>
    <n v="2"/>
    <n v="6.1703999999999999"/>
    <x v="7"/>
    <x v="1"/>
  </r>
  <r>
    <x v="813"/>
    <x v="309"/>
    <d v="2017-08-08T00:00:00"/>
    <x v="0"/>
    <s v="BD-11725"/>
    <s v="Bruce Degenhardt"/>
    <x v="0"/>
    <s v="United States"/>
    <x v="28"/>
    <x v="2"/>
    <x v="1"/>
    <s v="FUR-FU-10000723"/>
    <s v="Furniture"/>
    <x v="3"/>
    <s v="Deflect-o EconoMat Studded, No Bevel Mat for Low Pile Carpeting"/>
    <n v="123.96"/>
    <n v="3"/>
    <n v="11.1564"/>
    <x v="2"/>
    <x v="10"/>
  </r>
  <r>
    <x v="814"/>
    <x v="130"/>
    <d v="2015-08-26T00:00:00"/>
    <x v="1"/>
    <s v="DS-13180"/>
    <s v="David Smith"/>
    <x v="1"/>
    <s v="United States"/>
    <x v="28"/>
    <x v="2"/>
    <x v="1"/>
    <s v="FUR-BO-10003893"/>
    <s v="Furniture"/>
    <x v="0"/>
    <s v="Sauder Camden County Collection Library"/>
    <n v="586.39800000000002"/>
    <n v="6"/>
    <n v="34.494"/>
    <x v="2"/>
    <x v="10"/>
  </r>
  <r>
    <x v="815"/>
    <x v="546"/>
    <d v="2017-10-24T00:00:00"/>
    <x v="0"/>
    <s v="HA-14905"/>
    <s v="Helen Abelman"/>
    <x v="0"/>
    <s v="United States"/>
    <x v="200"/>
    <x v="12"/>
    <x v="1"/>
    <s v="FUR-CH-10000749"/>
    <s v="Furniture"/>
    <x v="1"/>
    <s v="Office Star - Ergonomic Mid Back Chair with 2-Way Adjustable Arms"/>
    <n v="579.13599999999997"/>
    <n v="4"/>
    <n v="-28.956800000000001"/>
    <x v="3"/>
    <x v="1"/>
  </r>
  <r>
    <x v="816"/>
    <x v="577"/>
    <d v="2016-08-16T00:00:00"/>
    <x v="1"/>
    <s v="BC-11125"/>
    <s v="Becky Castell"/>
    <x v="2"/>
    <s v="United States"/>
    <x v="13"/>
    <x v="7"/>
    <x v="2"/>
    <s v="FUR-CH-10000225"/>
    <s v="Furniture"/>
    <x v="1"/>
    <s v="Global Geo Office Task Chair, Gray"/>
    <n v="145.76400000000001"/>
    <n v="2"/>
    <n v="-8.0980000000000008"/>
    <x v="4"/>
    <x v="10"/>
  </r>
  <r>
    <x v="817"/>
    <x v="578"/>
    <d v="2016-05-01T00:00:00"/>
    <x v="1"/>
    <s v="DB-13360"/>
    <s v="Dennis Bolton"/>
    <x v="2"/>
    <s v="United States"/>
    <x v="13"/>
    <x v="7"/>
    <x v="2"/>
    <s v="FUR-CH-10004983"/>
    <s v="Furniture"/>
    <x v="1"/>
    <s v="Office Star - Mid Back Dual function Ergonomic High Back Chair with 2-Way Adjustable Arms"/>
    <n v="434.64600000000002"/>
    <n v="3"/>
    <n v="62.782200000000003"/>
    <x v="2"/>
    <x v="6"/>
  </r>
  <r>
    <x v="818"/>
    <x v="496"/>
    <d v="2015-05-07T00:00:00"/>
    <x v="1"/>
    <s v="SV-20785"/>
    <s v="Stewart Visinsky"/>
    <x v="0"/>
    <s v="United States"/>
    <x v="3"/>
    <x v="3"/>
    <x v="2"/>
    <s v="FUR-CH-10002965"/>
    <s v="Furniture"/>
    <x v="1"/>
    <s v="Global Leather Highback Executive Chair with Pneumatic Height Adjustment, Black"/>
    <n v="844.11599999999999"/>
    <n v="6"/>
    <n v="-36.176400000000001"/>
    <x v="4"/>
    <x v="7"/>
  </r>
  <r>
    <x v="819"/>
    <x v="579"/>
    <d v="2016-01-17T00:00:00"/>
    <x v="1"/>
    <s v="KB-16585"/>
    <s v="Ken Black"/>
    <x v="1"/>
    <s v="United States"/>
    <x v="15"/>
    <x v="13"/>
    <x v="1"/>
    <s v="FUR-FU-10000076"/>
    <s v="Furniture"/>
    <x v="3"/>
    <s v="24-Hour Round Wall Clock"/>
    <n v="79.92"/>
    <n v="4"/>
    <n v="34.365600000000001"/>
    <x v="1"/>
    <x v="8"/>
  </r>
  <r>
    <x v="820"/>
    <x v="580"/>
    <d v="2017-05-11T00:00:00"/>
    <x v="1"/>
    <s v="DB-13555"/>
    <s v="Dorothy Badders"/>
    <x v="1"/>
    <s v="United States"/>
    <x v="50"/>
    <x v="5"/>
    <x v="3"/>
    <s v="FUR-BO-10001601"/>
    <s v="Furniture"/>
    <x v="0"/>
    <s v="Sauder Mission Library with Doors, Fruitwood Finish"/>
    <n v="623.46479999999997"/>
    <n v="7"/>
    <n v="-119.1918"/>
    <x v="2"/>
    <x v="7"/>
  </r>
  <r>
    <x v="821"/>
    <x v="581"/>
    <d v="2016-08-06T00:00:00"/>
    <x v="1"/>
    <s v="KL-16645"/>
    <s v="Ken Lonsdale"/>
    <x v="0"/>
    <s v="United States"/>
    <x v="25"/>
    <x v="17"/>
    <x v="3"/>
    <s v="FUR-FU-10002918"/>
    <s v="Furniture"/>
    <x v="3"/>
    <s v="Eldon ClusterMat Chair Mat with Cordless Antistatic Protection"/>
    <n v="272.94"/>
    <n v="3"/>
    <n v="30.023399999999999"/>
    <x v="6"/>
    <x v="3"/>
  </r>
  <r>
    <x v="822"/>
    <x v="582"/>
    <d v="2017-03-29T00:00:00"/>
    <x v="0"/>
    <s v="AG-10270"/>
    <s v="Alejandro Grove"/>
    <x v="0"/>
    <s v="United States"/>
    <x v="3"/>
    <x v="3"/>
    <x v="2"/>
    <s v="FUR-FU-10003832"/>
    <s v="Furniture"/>
    <x v="3"/>
    <s v="Eldon Expressions Punched Metal &amp; Wood Desk Accessories, Black &amp; Cherry"/>
    <n v="15.007999999999999"/>
    <n v="2"/>
    <n v="1.5007999999999999"/>
    <x v="3"/>
    <x v="9"/>
  </r>
  <r>
    <x v="823"/>
    <x v="583"/>
    <d v="2016-09-03T00:00:00"/>
    <x v="1"/>
    <s v="GB-14530"/>
    <s v="George Bell"/>
    <x v="1"/>
    <s v="United States"/>
    <x v="3"/>
    <x v="3"/>
    <x v="2"/>
    <s v="FUR-TA-10004152"/>
    <s v="Furniture"/>
    <x v="2"/>
    <s v="Barricks 18&quot; x 48&quot; Non-Folding Utility Table with Bottom Storage Shelf"/>
    <n v="241.92"/>
    <n v="4"/>
    <n v="-56.448"/>
    <x v="2"/>
    <x v="10"/>
  </r>
  <r>
    <x v="823"/>
    <x v="583"/>
    <d v="2016-09-03T00:00:00"/>
    <x v="1"/>
    <s v="GB-14530"/>
    <s v="George Bell"/>
    <x v="1"/>
    <s v="United States"/>
    <x v="3"/>
    <x v="3"/>
    <x v="2"/>
    <s v="FUR-BO-10002853"/>
    <s v="Furniture"/>
    <x v="0"/>
    <s v="O'Sullivan 5-Shelf Heavy-Duty Bookcases"/>
    <n v="163.88"/>
    <n v="4"/>
    <n v="-81.94"/>
    <x v="2"/>
    <x v="10"/>
  </r>
  <r>
    <x v="824"/>
    <x v="191"/>
    <d v="2014-12-22T00:00:00"/>
    <x v="2"/>
    <s v="CT-11995"/>
    <s v="Carol Triggs"/>
    <x v="0"/>
    <s v="United States"/>
    <x v="104"/>
    <x v="22"/>
    <x v="1"/>
    <s v="FUR-FU-10001876"/>
    <s v="Furniture"/>
    <x v="3"/>
    <s v="Computer Room Manger, 14&quot;"/>
    <n v="51.968000000000004"/>
    <n v="2"/>
    <n v="10.393599999999999"/>
    <x v="3"/>
    <x v="5"/>
  </r>
  <r>
    <x v="824"/>
    <x v="191"/>
    <d v="2014-12-22T00:00:00"/>
    <x v="2"/>
    <s v="CT-11995"/>
    <s v="Carol Triggs"/>
    <x v="0"/>
    <s v="United States"/>
    <x v="104"/>
    <x v="22"/>
    <x v="1"/>
    <s v="FUR-CH-10004860"/>
    <s v="Furniture"/>
    <x v="1"/>
    <s v="Global Low Back Tilter Chair"/>
    <n v="242.352"/>
    <n v="3"/>
    <n v="-42.4116"/>
    <x v="3"/>
    <x v="5"/>
  </r>
  <r>
    <x v="825"/>
    <x v="584"/>
    <d v="2015-12-17T00:00:00"/>
    <x v="3"/>
    <s v="JL-15835"/>
    <s v="John Lee"/>
    <x v="0"/>
    <s v="United States"/>
    <x v="25"/>
    <x v="17"/>
    <x v="3"/>
    <s v="FUR-CH-10003846"/>
    <s v="Furniture"/>
    <x v="1"/>
    <s v="Hon Valutask Swivel Chairs"/>
    <n v="302.94"/>
    <n v="3"/>
    <n v="48.470399999999998"/>
    <x v="7"/>
    <x v="5"/>
  </r>
  <r>
    <x v="825"/>
    <x v="584"/>
    <d v="2015-12-17T00:00:00"/>
    <x v="3"/>
    <s v="JL-15835"/>
    <s v="John Lee"/>
    <x v="0"/>
    <s v="United States"/>
    <x v="25"/>
    <x v="17"/>
    <x v="3"/>
    <s v="FUR-CH-10004875"/>
    <s v="Furniture"/>
    <x v="1"/>
    <s v="Harbour Creations 67200 Series Stacking Chairs"/>
    <n v="142.36000000000001"/>
    <n v="2"/>
    <n v="38.437199999999997"/>
    <x v="7"/>
    <x v="5"/>
  </r>
  <r>
    <x v="825"/>
    <x v="584"/>
    <d v="2015-12-17T00:00:00"/>
    <x v="3"/>
    <s v="JL-15835"/>
    <s v="John Lee"/>
    <x v="0"/>
    <s v="United States"/>
    <x v="25"/>
    <x v="17"/>
    <x v="3"/>
    <s v="FUR-CH-10003817"/>
    <s v="Furniture"/>
    <x v="1"/>
    <s v="Global Value Steno Chair, Gray"/>
    <n v="546.66"/>
    <n v="9"/>
    <n v="136.66499999999999"/>
    <x v="7"/>
    <x v="5"/>
  </r>
  <r>
    <x v="825"/>
    <x v="584"/>
    <d v="2015-12-17T00:00:00"/>
    <x v="3"/>
    <s v="JL-15835"/>
    <s v="John Lee"/>
    <x v="0"/>
    <s v="United States"/>
    <x v="25"/>
    <x v="17"/>
    <x v="3"/>
    <s v="FUR-FU-10002116"/>
    <s v="Furniture"/>
    <x v="3"/>
    <s v="Tenex Carpeted, Granite-Look or Clear Contemporary Contour Shape Chair Mats"/>
    <n v="212.13"/>
    <n v="3"/>
    <n v="14.8491"/>
    <x v="7"/>
    <x v="5"/>
  </r>
  <r>
    <x v="826"/>
    <x v="585"/>
    <d v="2017-05-17T00:00:00"/>
    <x v="1"/>
    <s v="JK-16120"/>
    <s v="Julie Kriz"/>
    <x v="2"/>
    <s v="United States"/>
    <x v="198"/>
    <x v="5"/>
    <x v="3"/>
    <s v="FUR-FU-10001967"/>
    <s v="Furniture"/>
    <x v="3"/>
    <s v="Telescoping Adjustable Floor Lamp"/>
    <n v="7.9960000000000004"/>
    <n v="1"/>
    <n v="-6.9965000000000002"/>
    <x v="6"/>
    <x v="7"/>
  </r>
  <r>
    <x v="827"/>
    <x v="586"/>
    <d v="2016-05-18T00:00:00"/>
    <x v="2"/>
    <s v="AG-10900"/>
    <s v="Arthur Gainer"/>
    <x v="0"/>
    <s v="United States"/>
    <x v="251"/>
    <x v="19"/>
    <x v="2"/>
    <s v="FUR-FU-10003975"/>
    <s v="Furniture"/>
    <x v="3"/>
    <s v="Eldon Advantage Chair Mats for Low to Medium Pile Carpets"/>
    <n v="173.24"/>
    <n v="4"/>
    <n v="17.324000000000002"/>
    <x v="5"/>
    <x v="7"/>
  </r>
  <r>
    <x v="828"/>
    <x v="439"/>
    <d v="2014-12-21T00:00:00"/>
    <x v="1"/>
    <s v="EJ-13720"/>
    <s v="Ed Jacobs"/>
    <x v="0"/>
    <s v="United States"/>
    <x v="156"/>
    <x v="5"/>
    <x v="3"/>
    <s v="FUR-FU-10002116"/>
    <s v="Furniture"/>
    <x v="3"/>
    <s v="Tenex Carpeted, Granite-Look or Clear Contemporary Contour Shape Chair Mats"/>
    <n v="56.567999999999998"/>
    <n v="2"/>
    <n v="-74.952600000000004"/>
    <x v="2"/>
    <x v="5"/>
  </r>
  <r>
    <x v="829"/>
    <x v="587"/>
    <d v="2017-12-07T00:00:00"/>
    <x v="0"/>
    <s v="CM-12655"/>
    <s v="Corinna Mitchell"/>
    <x v="2"/>
    <s v="United States"/>
    <x v="15"/>
    <x v="13"/>
    <x v="1"/>
    <s v="FUR-TA-10002958"/>
    <s v="Furniture"/>
    <x v="2"/>
    <s v="Bevis Oval Conference Table, Walnut"/>
    <n v="521.96"/>
    <n v="2"/>
    <n v="88.733199999999997"/>
    <x v="4"/>
    <x v="5"/>
  </r>
  <r>
    <x v="830"/>
    <x v="588"/>
    <d v="2014-06-11T00:00:00"/>
    <x v="0"/>
    <s v="NR-18550"/>
    <s v="Nick Radford"/>
    <x v="0"/>
    <s v="United States"/>
    <x v="14"/>
    <x v="8"/>
    <x v="3"/>
    <s v="FUR-TA-10002041"/>
    <s v="Furniture"/>
    <x v="2"/>
    <s v="Bevis Round Conference Table Top, X-Base"/>
    <n v="268.935"/>
    <n v="3"/>
    <n v="-209.76929999999999"/>
    <x v="4"/>
    <x v="2"/>
  </r>
  <r>
    <x v="831"/>
    <x v="306"/>
    <d v="2014-11-29T00:00:00"/>
    <x v="0"/>
    <s v="MP-18175"/>
    <s v="Mike Pelletier"/>
    <x v="2"/>
    <s v="United States"/>
    <x v="13"/>
    <x v="7"/>
    <x v="2"/>
    <s v="FUR-BO-10003159"/>
    <s v="Furniture"/>
    <x v="0"/>
    <s v="Sauder Camden County Collection Libraries, Planked Cherry Finish"/>
    <n v="275.952"/>
    <n v="3"/>
    <n v="-37.943399999999997"/>
    <x v="4"/>
    <x v="0"/>
  </r>
  <r>
    <x v="832"/>
    <x v="165"/>
    <d v="2015-03-31T00:00:00"/>
    <x v="0"/>
    <s v="RB-19435"/>
    <s v="Richard Bierner"/>
    <x v="0"/>
    <s v="United States"/>
    <x v="53"/>
    <x v="2"/>
    <x v="1"/>
    <s v="FUR-FU-10004586"/>
    <s v="Furniture"/>
    <x v="3"/>
    <s v="G.E. Longer-Life Indoor Recessed Floodlight Bulbs"/>
    <n v="19.920000000000002"/>
    <n v="3"/>
    <n v="9.5616000000000003"/>
    <x v="3"/>
    <x v="9"/>
  </r>
  <r>
    <x v="833"/>
    <x v="589"/>
    <d v="2016-04-12T00:00:00"/>
    <x v="1"/>
    <s v="Dl-13600"/>
    <s v="Dorris liebe"/>
    <x v="1"/>
    <s v="United States"/>
    <x v="13"/>
    <x v="7"/>
    <x v="2"/>
    <s v="FUR-CH-10000454"/>
    <s v="Furniture"/>
    <x v="1"/>
    <s v="Hon Deluxe Fabric Upholstered Stacking Chairs, Rounded Back"/>
    <n v="658.74599999999998"/>
    <n v="3"/>
    <n v="146.38800000000001"/>
    <x v="2"/>
    <x v="6"/>
  </r>
  <r>
    <x v="834"/>
    <x v="590"/>
    <d v="2015-02-24T00:00:00"/>
    <x v="1"/>
    <s v="GT-14755"/>
    <s v="Guy Thornton"/>
    <x v="0"/>
    <s v="United States"/>
    <x v="62"/>
    <x v="2"/>
    <x v="1"/>
    <s v="FUR-TA-10001676"/>
    <s v="Furniture"/>
    <x v="2"/>
    <s v="Hon 61000 Series Interactive Training Tables"/>
    <n v="35.543999999999997"/>
    <n v="1"/>
    <n v="-0.88859999999999995"/>
    <x v="6"/>
    <x v="11"/>
  </r>
  <r>
    <x v="835"/>
    <x v="492"/>
    <d v="2016-03-03T00:00:00"/>
    <x v="3"/>
    <s v="TS-21160"/>
    <s v="Theresa Swint"/>
    <x v="1"/>
    <s v="United States"/>
    <x v="28"/>
    <x v="2"/>
    <x v="1"/>
    <s v="FUR-FU-10000672"/>
    <s v="Furniture"/>
    <x v="3"/>
    <s v="Executive Impressions 10&quot; Spectator Wall Clock"/>
    <n v="35.28"/>
    <n v="3"/>
    <n v="11.995200000000001"/>
    <x v="7"/>
    <x v="9"/>
  </r>
  <r>
    <x v="836"/>
    <x v="93"/>
    <d v="2017-11-24T00:00:00"/>
    <x v="1"/>
    <s v="ES-14020"/>
    <s v="Erica Smith"/>
    <x v="0"/>
    <s v="United States"/>
    <x v="38"/>
    <x v="9"/>
    <x v="0"/>
    <s v="FUR-CH-10001482"/>
    <s v="Furniture"/>
    <x v="1"/>
    <s v="Office Star - Mesh Screen back chair with Vinyl seat"/>
    <n v="209.56800000000001"/>
    <n v="2"/>
    <n v="-23.5764"/>
    <x v="4"/>
    <x v="0"/>
  </r>
  <r>
    <x v="837"/>
    <x v="68"/>
    <d v="2017-11-27T00:00:00"/>
    <x v="1"/>
    <s v="CM-12385"/>
    <s v="Christopher Martinez"/>
    <x v="0"/>
    <s v="United States"/>
    <x v="9"/>
    <x v="8"/>
    <x v="3"/>
    <s v="FUR-FU-10004909"/>
    <s v="Furniture"/>
    <x v="3"/>
    <s v="Contemporary Wood/Metal Frame"/>
    <n v="6.4640000000000004"/>
    <n v="1"/>
    <n v="-4.04"/>
    <x v="4"/>
    <x v="0"/>
  </r>
  <r>
    <x v="838"/>
    <x v="591"/>
    <d v="2014-07-10T00:00:00"/>
    <x v="2"/>
    <s v="MH-18025"/>
    <s v="Michelle Huthwaite"/>
    <x v="0"/>
    <s v="United States"/>
    <x v="252"/>
    <x v="7"/>
    <x v="2"/>
    <s v="FUR-CH-10002647"/>
    <s v="Furniture"/>
    <x v="1"/>
    <s v="Situations Contoured Folding Chairs, 4/Set"/>
    <n v="63.881999999999998"/>
    <n v="1"/>
    <n v="10.647"/>
    <x v="3"/>
    <x v="3"/>
  </r>
  <r>
    <x v="839"/>
    <x v="592"/>
    <d v="2014-11-12T00:00:00"/>
    <x v="1"/>
    <s v="SC-20725"/>
    <s v="Steven Cartwright"/>
    <x v="0"/>
    <s v="United States"/>
    <x v="6"/>
    <x v="5"/>
    <x v="3"/>
    <s v="FUR-CH-10002758"/>
    <s v="Furniture"/>
    <x v="1"/>
    <s v="Hon Deluxe Fabric Upholstered Stacking Chairs, Squared Back"/>
    <n v="683.14400000000001"/>
    <n v="4"/>
    <n v="0"/>
    <x v="2"/>
    <x v="0"/>
  </r>
  <r>
    <x v="840"/>
    <x v="593"/>
    <d v="2015-12-16T00:00:00"/>
    <x v="1"/>
    <s v="IM-15070"/>
    <s v="Irene Maddox"/>
    <x v="0"/>
    <s v="United States"/>
    <x v="30"/>
    <x v="12"/>
    <x v="1"/>
    <s v="FUR-BO-10003450"/>
    <s v="Furniture"/>
    <x v="0"/>
    <s v="Bush Westfield Collection Bookcases, Dark Cherry Finish"/>
    <n v="69.575999999999993"/>
    <n v="4"/>
    <n v="-143.79040000000001"/>
    <x v="2"/>
    <x v="5"/>
  </r>
  <r>
    <x v="840"/>
    <x v="593"/>
    <d v="2015-12-16T00:00:00"/>
    <x v="1"/>
    <s v="IM-15070"/>
    <s v="Irene Maddox"/>
    <x v="0"/>
    <s v="United States"/>
    <x v="30"/>
    <x v="12"/>
    <x v="1"/>
    <s v="FUR-FU-10002456"/>
    <s v="Furniture"/>
    <x v="3"/>
    <s v="Master Caster Door Stop, Large Neon Orange"/>
    <n v="52.415999999999997"/>
    <n v="9"/>
    <n v="15.069599999999999"/>
    <x v="2"/>
    <x v="5"/>
  </r>
  <r>
    <x v="840"/>
    <x v="593"/>
    <d v="2015-12-16T00:00:00"/>
    <x v="1"/>
    <s v="IM-15070"/>
    <s v="Irene Maddox"/>
    <x v="0"/>
    <s v="United States"/>
    <x v="30"/>
    <x v="12"/>
    <x v="1"/>
    <s v="FUR-FU-10001473"/>
    <s v="Furniture"/>
    <x v="3"/>
    <s v="DAX Wood Document Frame"/>
    <n v="54.92"/>
    <n v="5"/>
    <n v="10.984"/>
    <x v="2"/>
    <x v="5"/>
  </r>
  <r>
    <x v="840"/>
    <x v="593"/>
    <d v="2015-12-16T00:00:00"/>
    <x v="1"/>
    <s v="IM-15070"/>
    <s v="Irene Maddox"/>
    <x v="0"/>
    <s v="United States"/>
    <x v="30"/>
    <x v="12"/>
    <x v="1"/>
    <s v="FUR-TA-10000849"/>
    <s v="Furniture"/>
    <x v="2"/>
    <s v="Bevis Rectangular Conference Tables"/>
    <n v="364.95"/>
    <n v="5"/>
    <n v="-248.166"/>
    <x v="2"/>
    <x v="5"/>
  </r>
  <r>
    <x v="841"/>
    <x v="253"/>
    <d v="2015-03-23T00:00:00"/>
    <x v="1"/>
    <s v="MF-18250"/>
    <s v="Monica Federle"/>
    <x v="1"/>
    <s v="United States"/>
    <x v="2"/>
    <x v="2"/>
    <x v="1"/>
    <s v="FUR-FU-10001215"/>
    <s v="Furniture"/>
    <x v="3"/>
    <s v="Howard Miller 11-1/2&quot; Diameter Brentwood Wall Clock"/>
    <n v="43.13"/>
    <n v="1"/>
    <n v="18.114599999999999"/>
    <x v="1"/>
    <x v="9"/>
  </r>
  <r>
    <x v="842"/>
    <x v="326"/>
    <d v="2016-05-19T00:00:00"/>
    <x v="1"/>
    <s v="MK-17905"/>
    <s v="Michael Kennedy"/>
    <x v="1"/>
    <s v="United States"/>
    <x v="51"/>
    <x v="1"/>
    <x v="0"/>
    <s v="FUR-FU-10002396"/>
    <s v="Furniture"/>
    <x v="3"/>
    <s v="DAX Copper Panel Document Frame, 5 x 7 Size"/>
    <n v="30.192"/>
    <n v="3"/>
    <n v="8.3027999999999995"/>
    <x v="2"/>
    <x v="7"/>
  </r>
  <r>
    <x v="843"/>
    <x v="594"/>
    <d v="2017-07-17T00:00:00"/>
    <x v="0"/>
    <s v="MH-17455"/>
    <s v="Mark Hamilton"/>
    <x v="0"/>
    <s v="United States"/>
    <x v="3"/>
    <x v="3"/>
    <x v="2"/>
    <s v="FUR-FU-10002501"/>
    <s v="Furniture"/>
    <x v="3"/>
    <s v="Nu-Dell Executive Frame"/>
    <n v="91.007999999999996"/>
    <n v="9"/>
    <n v="19.339200000000002"/>
    <x v="4"/>
    <x v="3"/>
  </r>
  <r>
    <x v="844"/>
    <x v="566"/>
    <d v="2016-11-19T00:00:00"/>
    <x v="0"/>
    <s v="EB-14110"/>
    <s v="Eugene Barchas"/>
    <x v="0"/>
    <s v="United States"/>
    <x v="3"/>
    <x v="3"/>
    <x v="2"/>
    <s v="FUR-CH-10000785"/>
    <s v="Furniture"/>
    <x v="1"/>
    <s v="Global Ergonomic Managers Chair"/>
    <n v="380.05799999999999"/>
    <n v="3"/>
    <n v="-21.717600000000001"/>
    <x v="2"/>
    <x v="0"/>
  </r>
  <r>
    <x v="844"/>
    <x v="566"/>
    <d v="2016-11-19T00:00:00"/>
    <x v="0"/>
    <s v="EB-14110"/>
    <s v="Eugene Barchas"/>
    <x v="0"/>
    <s v="United States"/>
    <x v="3"/>
    <x v="3"/>
    <x v="2"/>
    <s v="FUR-FU-10002813"/>
    <s v="Furniture"/>
    <x v="3"/>
    <s v="DAX Contemporary Wood Frame with Silver Metal Mat, Desktop, 11 x 14 Size"/>
    <n v="48.576000000000001"/>
    <n v="3"/>
    <n v="9.7151999999999994"/>
    <x v="2"/>
    <x v="0"/>
  </r>
  <r>
    <x v="845"/>
    <x v="431"/>
    <d v="2016-11-26T00:00:00"/>
    <x v="1"/>
    <s v="CK-12205"/>
    <s v="Chloris Kastensmidt"/>
    <x v="0"/>
    <s v="United States"/>
    <x v="29"/>
    <x v="15"/>
    <x v="2"/>
    <s v="FUR-CH-10003817"/>
    <s v="Furniture"/>
    <x v="1"/>
    <s v="Global Value Steno Chair, Gray"/>
    <n v="127.554"/>
    <n v="3"/>
    <n v="-9.1110000000000007"/>
    <x v="2"/>
    <x v="0"/>
  </r>
  <r>
    <x v="845"/>
    <x v="431"/>
    <d v="2016-11-26T00:00:00"/>
    <x v="1"/>
    <s v="CK-12205"/>
    <s v="Chloris Kastensmidt"/>
    <x v="0"/>
    <s v="United States"/>
    <x v="29"/>
    <x v="15"/>
    <x v="2"/>
    <s v="FUR-FU-10001876"/>
    <s v="Furniture"/>
    <x v="3"/>
    <s v="Computer Room Manger, 14&quot;"/>
    <n v="77.951999999999998"/>
    <n v="3"/>
    <n v="15.590400000000001"/>
    <x v="2"/>
    <x v="0"/>
  </r>
  <r>
    <x v="846"/>
    <x v="93"/>
    <d v="2017-11-25T00:00:00"/>
    <x v="1"/>
    <s v="SC-20050"/>
    <s v="Sample Company A"/>
    <x v="2"/>
    <s v="United States"/>
    <x v="0"/>
    <x v="0"/>
    <x v="0"/>
    <s v="FUR-FU-10000629"/>
    <s v="Furniture"/>
    <x v="3"/>
    <s v="9-3/4 Diameter Round Wall Clock"/>
    <n v="27.58"/>
    <n v="2"/>
    <n v="11.583600000000001"/>
    <x v="2"/>
    <x v="0"/>
  </r>
  <r>
    <x v="847"/>
    <x v="30"/>
    <d v="2014-09-14T00:00:00"/>
    <x v="1"/>
    <s v="MC-17275"/>
    <s v="Marc Crier"/>
    <x v="0"/>
    <s v="United States"/>
    <x v="253"/>
    <x v="13"/>
    <x v="1"/>
    <s v="FUR-CH-10000454"/>
    <s v="Furniture"/>
    <x v="1"/>
    <s v="Hon Deluxe Fabric Upholstered Stacking Chairs, Rounded Back"/>
    <n v="975.92"/>
    <n v="5"/>
    <n v="121.99"/>
    <x v="6"/>
    <x v="4"/>
  </r>
  <r>
    <x v="848"/>
    <x v="202"/>
    <d v="2014-12-15T00:00:00"/>
    <x v="0"/>
    <s v="LH-17155"/>
    <s v="Logan Haushalter"/>
    <x v="0"/>
    <s v="United States"/>
    <x v="121"/>
    <x v="2"/>
    <x v="1"/>
    <s v="FUR-FU-10004270"/>
    <s v="Furniture"/>
    <x v="3"/>
    <s v="Eldon Image Series Desk Accessories, Burgundy"/>
    <n v="12.54"/>
    <n v="3"/>
    <n v="4.5144000000000002"/>
    <x v="0"/>
    <x v="5"/>
  </r>
  <r>
    <x v="848"/>
    <x v="202"/>
    <d v="2014-12-15T00:00:00"/>
    <x v="0"/>
    <s v="LH-17155"/>
    <s v="Logan Haushalter"/>
    <x v="0"/>
    <s v="United States"/>
    <x v="121"/>
    <x v="2"/>
    <x v="1"/>
    <s v="FUR-FU-10001706"/>
    <s v="Furniture"/>
    <x v="3"/>
    <s v="Longer-Life Soft White Bulbs"/>
    <n v="9.24"/>
    <n v="3"/>
    <n v="4.4352"/>
    <x v="0"/>
    <x v="5"/>
  </r>
  <r>
    <x v="849"/>
    <x v="595"/>
    <d v="2015-01-17T00:00:00"/>
    <x v="1"/>
    <s v="PB-19150"/>
    <s v="Philip Brown"/>
    <x v="0"/>
    <s v="United States"/>
    <x v="2"/>
    <x v="2"/>
    <x v="1"/>
    <s v="FUR-FU-10001861"/>
    <s v="Furniture"/>
    <x v="3"/>
    <s v="Floodlight Indoor Halogen Bulbs, 1 Bulb per Pack, 60 Watts"/>
    <n v="77.599999999999994"/>
    <n v="4"/>
    <n v="38.024000000000001"/>
    <x v="4"/>
    <x v="8"/>
  </r>
  <r>
    <x v="849"/>
    <x v="595"/>
    <d v="2015-01-17T00:00:00"/>
    <x v="1"/>
    <s v="PB-19150"/>
    <s v="Philip Brown"/>
    <x v="0"/>
    <s v="United States"/>
    <x v="2"/>
    <x v="2"/>
    <x v="1"/>
    <s v="FUR-FU-10004845"/>
    <s v="Furniture"/>
    <x v="3"/>
    <s v="Deflect-o EconoMat Nonstudded, No Bevel Mat"/>
    <n v="464.85"/>
    <n v="9"/>
    <n v="92.97"/>
    <x v="4"/>
    <x v="8"/>
  </r>
  <r>
    <x v="850"/>
    <x v="596"/>
    <d v="2017-11-18T00:00:00"/>
    <x v="1"/>
    <s v="TT-21070"/>
    <s v="Ted Trevino"/>
    <x v="0"/>
    <s v="United States"/>
    <x v="15"/>
    <x v="13"/>
    <x v="1"/>
    <s v="FUR-CH-10001215"/>
    <s v="Furniture"/>
    <x v="1"/>
    <s v="Global Troy Executive Leather Low-Back Tilter"/>
    <n v="2404.7040000000002"/>
    <n v="6"/>
    <n v="150.29400000000001"/>
    <x v="2"/>
    <x v="0"/>
  </r>
  <r>
    <x v="851"/>
    <x v="575"/>
    <d v="2017-11-05T00:00:00"/>
    <x v="0"/>
    <s v="TB-21175"/>
    <s v="Thomas Boland"/>
    <x v="1"/>
    <s v="United States"/>
    <x v="0"/>
    <x v="0"/>
    <x v="0"/>
    <s v="FUR-CH-10000454"/>
    <s v="Furniture"/>
    <x v="1"/>
    <s v="Hon Deluxe Fabric Upholstered Stacking Chairs, Rounded Back"/>
    <n v="975.92"/>
    <n v="4"/>
    <n v="292.77600000000001"/>
    <x v="0"/>
    <x v="0"/>
  </r>
  <r>
    <x v="852"/>
    <x v="597"/>
    <d v="2016-12-01T00:00:00"/>
    <x v="0"/>
    <s v="RF-19345"/>
    <s v="Randy Ferguson"/>
    <x v="1"/>
    <s v="United States"/>
    <x v="254"/>
    <x v="24"/>
    <x v="0"/>
    <s v="FUR-CH-10004477"/>
    <s v="Furniture"/>
    <x v="1"/>
    <s v="Global Push Button Manager's Chair, Indigo"/>
    <n v="182.67"/>
    <n v="3"/>
    <n v="52.974299999999999"/>
    <x v="0"/>
    <x v="0"/>
  </r>
  <r>
    <x v="853"/>
    <x v="384"/>
    <d v="2014-10-17T00:00:00"/>
    <x v="2"/>
    <s v="AC-10660"/>
    <s v="Anna Chung"/>
    <x v="0"/>
    <s v="United States"/>
    <x v="255"/>
    <x v="15"/>
    <x v="2"/>
    <s v="FUR-CH-10003761"/>
    <s v="Furniture"/>
    <x v="1"/>
    <s v="Global Italian Leather Office Chair"/>
    <n v="183.37200000000001"/>
    <n v="2"/>
    <n v="-7.8587999999999996"/>
    <x v="3"/>
    <x v="1"/>
  </r>
  <r>
    <x v="854"/>
    <x v="280"/>
    <d v="2014-12-03T00:00:00"/>
    <x v="0"/>
    <s v="MC-17605"/>
    <s v="Matt Connell"/>
    <x v="1"/>
    <s v="United States"/>
    <x v="6"/>
    <x v="5"/>
    <x v="3"/>
    <s v="FUR-CH-10003746"/>
    <s v="Furniture"/>
    <x v="1"/>
    <s v="Hon 4070 Series Pagoda Round Back Stacking Chairs"/>
    <n v="674.05799999999999"/>
    <n v="3"/>
    <n v="-19.258800000000001"/>
    <x v="3"/>
    <x v="5"/>
  </r>
  <r>
    <x v="855"/>
    <x v="224"/>
    <d v="2017-10-11T00:00:00"/>
    <x v="0"/>
    <s v="MB-17305"/>
    <s v="Maria Bertelson"/>
    <x v="0"/>
    <s v="United States"/>
    <x v="256"/>
    <x v="5"/>
    <x v="3"/>
    <s v="FUR-CH-10001802"/>
    <s v="Furniture"/>
    <x v="1"/>
    <s v="Hon Every-Day Chair Series Swivel Task Chairs"/>
    <n v="254.05799999999999"/>
    <n v="3"/>
    <n v="-32.6646"/>
    <x v="3"/>
    <x v="1"/>
  </r>
  <r>
    <x v="856"/>
    <x v="598"/>
    <d v="2016-01-07T00:00:00"/>
    <x v="1"/>
    <s v="BM-11575"/>
    <s v="Brendan Murry"/>
    <x v="1"/>
    <s v="United States"/>
    <x v="257"/>
    <x v="32"/>
    <x v="2"/>
    <s v="FUR-BO-10004709"/>
    <s v="Furniture"/>
    <x v="0"/>
    <s v="Bush Westfield Collection Bookcases, Medium Cherry Finish"/>
    <n v="173.94"/>
    <n v="3"/>
    <n v="38.266800000000003"/>
    <x v="2"/>
    <x v="8"/>
  </r>
  <r>
    <x v="857"/>
    <x v="66"/>
    <d v="2017-10-23T00:00:00"/>
    <x v="1"/>
    <s v="MO-17500"/>
    <s v="Mary O'Rourke"/>
    <x v="0"/>
    <s v="United States"/>
    <x v="9"/>
    <x v="8"/>
    <x v="3"/>
    <s v="FUR-TA-10003008"/>
    <s v="Furniture"/>
    <x v="2"/>
    <s v="Lesro Round Back Collection Coffee Table, End Table"/>
    <n v="91.275000000000006"/>
    <n v="1"/>
    <n v="-67.543499999999995"/>
    <x v="4"/>
    <x v="1"/>
  </r>
  <r>
    <x v="858"/>
    <x v="451"/>
    <d v="2017-12-06T00:00:00"/>
    <x v="1"/>
    <s v="AD-10180"/>
    <s v="Alan Dominguez"/>
    <x v="2"/>
    <s v="United States"/>
    <x v="130"/>
    <x v="19"/>
    <x v="2"/>
    <s v="FUR-CH-10000155"/>
    <s v="Furniture"/>
    <x v="1"/>
    <s v="Global Comet Stacking Armless Chair"/>
    <n v="897.15"/>
    <n v="3"/>
    <n v="251.202"/>
    <x v="2"/>
    <x v="5"/>
  </r>
  <r>
    <x v="859"/>
    <x v="424"/>
    <d v="2014-01-18T00:00:00"/>
    <x v="1"/>
    <s v="BD-11605"/>
    <s v="Brian Dahlen"/>
    <x v="0"/>
    <s v="United States"/>
    <x v="28"/>
    <x v="2"/>
    <x v="1"/>
    <s v="FUR-BO-10003034"/>
    <s v="Furniture"/>
    <x v="0"/>
    <s v="O'Sullivan Elevations Bookcase, Cherry Finish"/>
    <n v="333.99900000000002"/>
    <n v="3"/>
    <n v="3.9293999999999998"/>
    <x v="2"/>
    <x v="8"/>
  </r>
  <r>
    <x v="860"/>
    <x v="599"/>
    <d v="2015-02-13T00:00:00"/>
    <x v="1"/>
    <s v="IL-15100"/>
    <s v="Ivan Liston"/>
    <x v="0"/>
    <s v="United States"/>
    <x v="16"/>
    <x v="14"/>
    <x v="2"/>
    <s v="FUR-CH-10001708"/>
    <s v="Furniture"/>
    <x v="1"/>
    <s v="Office Star - Contemporary Swivel Chair with Padded Adjustable Arms and Flex Back"/>
    <n v="1268.82"/>
    <n v="9"/>
    <n v="266.4522"/>
    <x v="1"/>
    <x v="11"/>
  </r>
  <r>
    <x v="860"/>
    <x v="599"/>
    <d v="2015-02-13T00:00:00"/>
    <x v="1"/>
    <s v="IL-15100"/>
    <s v="Ivan Liston"/>
    <x v="0"/>
    <s v="United States"/>
    <x v="16"/>
    <x v="14"/>
    <x v="2"/>
    <s v="FUR-BO-10002598"/>
    <s v="Furniture"/>
    <x v="0"/>
    <s v="Hon Metal Bookcases, Putty"/>
    <n v="283.92"/>
    <n v="4"/>
    <n v="82.336799999999997"/>
    <x v="1"/>
    <x v="11"/>
  </r>
  <r>
    <x v="861"/>
    <x v="152"/>
    <d v="2017-12-02T00:00:00"/>
    <x v="1"/>
    <s v="BD-11320"/>
    <s v="Bill Donatelli"/>
    <x v="0"/>
    <s v="United States"/>
    <x v="2"/>
    <x v="2"/>
    <x v="1"/>
    <s v="FUR-FU-10000732"/>
    <s v="Furniture"/>
    <x v="3"/>
    <s v="Eldon 200 Class Desk Accessories"/>
    <n v="18.84"/>
    <n v="3"/>
    <n v="6.0288000000000004"/>
    <x v="2"/>
    <x v="0"/>
  </r>
  <r>
    <x v="862"/>
    <x v="2"/>
    <d v="2014-06-13T00:00:00"/>
    <x v="0"/>
    <s v="TS-21205"/>
    <s v="Thomas Seio"/>
    <x v="1"/>
    <s v="United States"/>
    <x v="111"/>
    <x v="34"/>
    <x v="1"/>
    <s v="FUR-FU-10002685"/>
    <s v="Furniture"/>
    <x v="3"/>
    <s v="Executive Impressions 13-1/2&quot; Indoor/Outdoor Wall Clock"/>
    <n v="37.4"/>
    <n v="2"/>
    <n v="14.212"/>
    <x v="4"/>
    <x v="2"/>
  </r>
  <r>
    <x v="863"/>
    <x v="600"/>
    <d v="2014-03-08T00:00:00"/>
    <x v="2"/>
    <s v="AB-10015"/>
    <s v="Aaron Bergman"/>
    <x v="0"/>
    <s v="United States"/>
    <x v="15"/>
    <x v="13"/>
    <x v="1"/>
    <s v="FUR-CH-10004477"/>
    <s v="Furniture"/>
    <x v="1"/>
    <s v="Global Push Button Manager's Chair, Indigo"/>
    <n v="48.712000000000003"/>
    <n v="1"/>
    <n v="5.4801000000000002"/>
    <x v="5"/>
    <x v="9"/>
  </r>
  <r>
    <x v="864"/>
    <x v="601"/>
    <d v="2015-08-05T00:00:00"/>
    <x v="0"/>
    <s v="BE-11455"/>
    <s v="Brad Eason"/>
    <x v="2"/>
    <s v="United States"/>
    <x v="134"/>
    <x v="38"/>
    <x v="2"/>
    <s v="FUR-CH-10001973"/>
    <s v="Furniture"/>
    <x v="1"/>
    <s v="Office Star Flex Back Scooter Chair with White Frame"/>
    <n v="110.98"/>
    <n v="1"/>
    <n v="15.5372"/>
    <x v="0"/>
    <x v="10"/>
  </r>
  <r>
    <x v="865"/>
    <x v="24"/>
    <d v="2016-11-09T00:00:00"/>
    <x v="2"/>
    <s v="KL-16555"/>
    <s v="Kelly Lampkin"/>
    <x v="1"/>
    <s v="United States"/>
    <x v="51"/>
    <x v="1"/>
    <x v="0"/>
    <s v="FUR-CH-10000513"/>
    <s v="Furniture"/>
    <x v="1"/>
    <s v="High-Back Leather Manager's Chair"/>
    <n v="207.98400000000001"/>
    <n v="2"/>
    <n v="-28.597799999999999"/>
    <x v="0"/>
    <x v="0"/>
  </r>
  <r>
    <x v="865"/>
    <x v="24"/>
    <d v="2016-11-09T00:00:00"/>
    <x v="2"/>
    <s v="KL-16555"/>
    <s v="Kelly Lampkin"/>
    <x v="1"/>
    <s v="United States"/>
    <x v="51"/>
    <x v="1"/>
    <x v="0"/>
    <s v="FUR-FU-10004090"/>
    <s v="Furniture"/>
    <x v="3"/>
    <s v="Executive Impressions 14&quot; Contract Wall Clock"/>
    <n v="35.567999999999998"/>
    <n v="2"/>
    <n v="5.7797999999999998"/>
    <x v="0"/>
    <x v="0"/>
  </r>
  <r>
    <x v="866"/>
    <x v="602"/>
    <d v="2016-04-28T00:00:00"/>
    <x v="1"/>
    <s v="CL-12700"/>
    <s v="Craig Leslie"/>
    <x v="2"/>
    <s v="United States"/>
    <x v="30"/>
    <x v="12"/>
    <x v="1"/>
    <s v="FUR-CH-10004287"/>
    <s v="Furniture"/>
    <x v="1"/>
    <s v="SAFCO Arco Folding Chair"/>
    <n v="1325.76"/>
    <n v="6"/>
    <n v="149.148"/>
    <x v="4"/>
    <x v="6"/>
  </r>
  <r>
    <x v="867"/>
    <x v="603"/>
    <d v="2015-12-25T00:00:00"/>
    <x v="1"/>
    <s v="RB-19645"/>
    <s v="Robert Barroso"/>
    <x v="1"/>
    <s v="United States"/>
    <x v="10"/>
    <x v="9"/>
    <x v="0"/>
    <s v="FUR-FU-10000221"/>
    <s v="Furniture"/>
    <x v="3"/>
    <s v="Master Caster Door Stop, Brown"/>
    <n v="20.32"/>
    <n v="5"/>
    <n v="3.556"/>
    <x v="1"/>
    <x v="5"/>
  </r>
  <r>
    <x v="868"/>
    <x v="585"/>
    <d v="2017-05-13T00:00:00"/>
    <x v="2"/>
    <s v="TS-21370"/>
    <s v="Todd Sumrall"/>
    <x v="1"/>
    <s v="United States"/>
    <x v="43"/>
    <x v="22"/>
    <x v="1"/>
    <s v="FUR-BO-10004467"/>
    <s v="Furniture"/>
    <x v="0"/>
    <s v="Bestar Classic Bookcase"/>
    <n v="209.97900000000001"/>
    <n v="7"/>
    <n v="-356.96429999999998"/>
    <x v="3"/>
    <x v="7"/>
  </r>
  <r>
    <x v="869"/>
    <x v="168"/>
    <d v="2014-11-29T00:00:00"/>
    <x v="1"/>
    <s v="TH-21100"/>
    <s v="Thea Hendricks"/>
    <x v="0"/>
    <s v="United States"/>
    <x v="219"/>
    <x v="15"/>
    <x v="2"/>
    <s v="FUR-FU-10002960"/>
    <s v="Furniture"/>
    <x v="3"/>
    <s v="Eldon 200 Class Desk Accessories, Burgundy"/>
    <n v="35.167999999999999"/>
    <n v="7"/>
    <n v="9.6712000000000007"/>
    <x v="2"/>
    <x v="0"/>
  </r>
  <r>
    <x v="870"/>
    <x v="604"/>
    <d v="2014-11-18T00:00:00"/>
    <x v="2"/>
    <s v="SS-20410"/>
    <s v="Shahid Shariari"/>
    <x v="0"/>
    <s v="United States"/>
    <x v="2"/>
    <x v="2"/>
    <x v="1"/>
    <s v="FUR-FU-10002505"/>
    <s v="Furniture"/>
    <x v="3"/>
    <s v="Eldon 100 Class Desk Accessories"/>
    <n v="10.11"/>
    <n v="3"/>
    <n v="3.2351999999999999"/>
    <x v="0"/>
    <x v="0"/>
  </r>
  <r>
    <x v="871"/>
    <x v="105"/>
    <d v="2016-12-24T00:00:00"/>
    <x v="1"/>
    <s v="JE-15475"/>
    <s v="Jeremy Ellison"/>
    <x v="0"/>
    <s v="United States"/>
    <x v="53"/>
    <x v="2"/>
    <x v="1"/>
    <s v="FUR-FU-10003731"/>
    <s v="Furniture"/>
    <x v="3"/>
    <s v="Eldon Expressions Wood and Plastic Desk Accessories, Oak"/>
    <n v="39.92"/>
    <n v="4"/>
    <n v="11.1776"/>
    <x v="6"/>
    <x v="5"/>
  </r>
  <r>
    <x v="872"/>
    <x v="605"/>
    <d v="2017-08-03T00:00:00"/>
    <x v="1"/>
    <s v="RF-19735"/>
    <s v="Roland Fjeld"/>
    <x v="0"/>
    <s v="United States"/>
    <x v="258"/>
    <x v="37"/>
    <x v="3"/>
    <s v="FUR-CH-10004626"/>
    <s v="Furniture"/>
    <x v="1"/>
    <s v="Office Star Flex Back Scooter Chair with Aluminum Finish Frame"/>
    <n v="302.67"/>
    <n v="3"/>
    <n v="72.640799999999999"/>
    <x v="2"/>
    <x v="3"/>
  </r>
  <r>
    <x v="873"/>
    <x v="576"/>
    <d v="2017-01-02T00:00:00"/>
    <x v="1"/>
    <s v="BB-11545"/>
    <s v="Brenda Bowman"/>
    <x v="1"/>
    <s v="United States"/>
    <x v="109"/>
    <x v="18"/>
    <x v="2"/>
    <s v="FUR-CH-10003968"/>
    <s v="Furniture"/>
    <x v="1"/>
    <s v="Novimex Turbo Task Chair"/>
    <n v="212.94"/>
    <n v="3"/>
    <n v="25.552800000000001"/>
    <x v="1"/>
    <x v="5"/>
  </r>
  <r>
    <x v="874"/>
    <x v="38"/>
    <d v="2015-08-13T00:00:00"/>
    <x v="0"/>
    <s v="HR-14770"/>
    <s v="Hallie Redmond"/>
    <x v="2"/>
    <s v="United States"/>
    <x v="79"/>
    <x v="16"/>
    <x v="3"/>
    <s v="FUR-BO-10004690"/>
    <s v="Furniture"/>
    <x v="0"/>
    <s v="O'Sullivan Cherrywood Estates Traditional Barrister Bookcase"/>
    <n v="687.4"/>
    <n v="5"/>
    <n v="48.118000000000002"/>
    <x v="4"/>
    <x v="10"/>
  </r>
  <r>
    <x v="875"/>
    <x v="226"/>
    <d v="2014-04-12T00:00:00"/>
    <x v="1"/>
    <s v="SC-20260"/>
    <s v="Scott Cohen"/>
    <x v="1"/>
    <s v="United States"/>
    <x v="15"/>
    <x v="13"/>
    <x v="1"/>
    <s v="FUR-TA-10000688"/>
    <s v="Furniture"/>
    <x v="2"/>
    <s v="Chromcraft Bull-Nose Wood Round Conference Table Top, Wood Base"/>
    <n v="653.54999999999995"/>
    <n v="3"/>
    <n v="111.1035"/>
    <x v="6"/>
    <x v="6"/>
  </r>
  <r>
    <x v="876"/>
    <x v="312"/>
    <d v="2015-07-12T00:00:00"/>
    <x v="2"/>
    <s v="TS-21370"/>
    <s v="Todd Sumrall"/>
    <x v="1"/>
    <s v="United States"/>
    <x v="16"/>
    <x v="14"/>
    <x v="2"/>
    <s v="FUR-TA-10001520"/>
    <s v="Furniture"/>
    <x v="2"/>
    <s v="Lesro Sheffield Collection Coffee Table, End Table, Center Table, Corner Table"/>
    <n v="199.83600000000001"/>
    <n v="4"/>
    <n v="-37.112400000000001"/>
    <x v="5"/>
    <x v="3"/>
  </r>
  <r>
    <x v="877"/>
    <x v="480"/>
    <d v="2016-11-13T00:00:00"/>
    <x v="0"/>
    <s v="AI-10855"/>
    <s v="Arianne Irving"/>
    <x v="0"/>
    <s v="United States"/>
    <x v="2"/>
    <x v="2"/>
    <x v="1"/>
    <s v="FUR-FU-10000965"/>
    <s v="Furniture"/>
    <x v="3"/>
    <s v="Howard Miller 11-1/2&quot; Diameter Ridgewood Wall Clock"/>
    <n v="467.46"/>
    <n v="9"/>
    <n v="191.65860000000001"/>
    <x v="0"/>
    <x v="0"/>
  </r>
  <r>
    <x v="878"/>
    <x v="606"/>
    <d v="2015-01-08T00:00:00"/>
    <x v="0"/>
    <s v="AH-10465"/>
    <s v="Amy Hunt"/>
    <x v="0"/>
    <s v="United States"/>
    <x v="144"/>
    <x v="5"/>
    <x v="3"/>
    <s v="FUR-BO-10003272"/>
    <s v="Furniture"/>
    <x v="0"/>
    <s v="O'Sullivan Living Dimensions 5-Shelf Bookcases"/>
    <n v="1352.3976"/>
    <n v="9"/>
    <n v="-437.54039999999998"/>
    <x v="2"/>
    <x v="8"/>
  </r>
  <r>
    <x v="879"/>
    <x v="190"/>
    <d v="2015-05-12T00:00:00"/>
    <x v="1"/>
    <s v="DL-12925"/>
    <s v="Daniel Lacy"/>
    <x v="0"/>
    <s v="United States"/>
    <x v="12"/>
    <x v="11"/>
    <x v="3"/>
    <s v="FUR-FU-10000723"/>
    <s v="Furniture"/>
    <x v="3"/>
    <s v="Deflect-o EconoMat Studded, No Bevel Mat for Low Pile Carpeting"/>
    <n v="123.96"/>
    <n v="3"/>
    <n v="11.1564"/>
    <x v="4"/>
    <x v="7"/>
  </r>
  <r>
    <x v="880"/>
    <x v="147"/>
    <d v="2017-12-07T00:00:00"/>
    <x v="1"/>
    <s v="SC-20380"/>
    <s v="Shahid Collister"/>
    <x v="0"/>
    <s v="United States"/>
    <x v="259"/>
    <x v="30"/>
    <x v="0"/>
    <s v="FUR-TA-10001889"/>
    <s v="Furniture"/>
    <x v="2"/>
    <s v="Bush Advantage Collection Racetrack Conference Table"/>
    <n v="1781.682"/>
    <n v="7"/>
    <n v="-653.28340000000003"/>
    <x v="1"/>
    <x v="0"/>
  </r>
  <r>
    <x v="881"/>
    <x v="98"/>
    <d v="2014-08-12T00:00:00"/>
    <x v="1"/>
    <s v="MA-17560"/>
    <s v="Matt Abelman"/>
    <x v="2"/>
    <s v="United States"/>
    <x v="65"/>
    <x v="17"/>
    <x v="3"/>
    <s v="FUR-FU-10002088"/>
    <s v="Furniture"/>
    <x v="3"/>
    <s v="Nu-Dell Float Frame 11 x 14 1/2"/>
    <n v="53.88"/>
    <n v="6"/>
    <n v="22.6296"/>
    <x v="4"/>
    <x v="10"/>
  </r>
  <r>
    <x v="882"/>
    <x v="607"/>
    <d v="2014-04-22T00:00:00"/>
    <x v="0"/>
    <s v="SV-20365"/>
    <s v="Seth Vernon"/>
    <x v="0"/>
    <s v="United States"/>
    <x v="6"/>
    <x v="5"/>
    <x v="3"/>
    <s v="FUR-TA-10001705"/>
    <s v="Furniture"/>
    <x v="2"/>
    <s v="Bush Advantage Collection Round Conference Table"/>
    <n v="744.1"/>
    <n v="5"/>
    <n v="-95.67"/>
    <x v="3"/>
    <x v="6"/>
  </r>
  <r>
    <x v="882"/>
    <x v="607"/>
    <d v="2014-04-22T00:00:00"/>
    <x v="0"/>
    <s v="SV-20365"/>
    <s v="Seth Vernon"/>
    <x v="0"/>
    <s v="United States"/>
    <x v="6"/>
    <x v="5"/>
    <x v="3"/>
    <s v="FUR-TA-10004442"/>
    <s v="Furniture"/>
    <x v="2"/>
    <s v="Riverside Furniture Stanwyck Manor Table Series"/>
    <n v="401.59"/>
    <n v="2"/>
    <n v="-131.95099999999999"/>
    <x v="3"/>
    <x v="6"/>
  </r>
  <r>
    <x v="883"/>
    <x v="608"/>
    <d v="2017-11-29T00:00:00"/>
    <x v="1"/>
    <s v="BD-11500"/>
    <s v="Bradley Drucker"/>
    <x v="0"/>
    <s v="United States"/>
    <x v="28"/>
    <x v="2"/>
    <x v="1"/>
    <s v="FUR-BO-10002213"/>
    <s v="Furniture"/>
    <x v="0"/>
    <s v="Sauder Forest Hills Library, Woodland Oak Finish"/>
    <n v="359.49900000000002"/>
    <n v="3"/>
    <n v="-29.605799999999999"/>
    <x v="4"/>
    <x v="0"/>
  </r>
  <r>
    <x v="884"/>
    <x v="387"/>
    <d v="2014-12-10T00:00:00"/>
    <x v="1"/>
    <s v="BK-11260"/>
    <s v="Berenike Kampe"/>
    <x v="0"/>
    <s v="United States"/>
    <x v="9"/>
    <x v="8"/>
    <x v="3"/>
    <s v="FUR-TA-10004086"/>
    <s v="Furniture"/>
    <x v="2"/>
    <s v="KI Adjustable-Height Table"/>
    <n v="214.95"/>
    <n v="5"/>
    <n v="-120.372"/>
    <x v="4"/>
    <x v="5"/>
  </r>
  <r>
    <x v="884"/>
    <x v="387"/>
    <d v="2014-12-10T00:00:00"/>
    <x v="1"/>
    <s v="BK-11260"/>
    <s v="Berenike Kampe"/>
    <x v="0"/>
    <s v="United States"/>
    <x v="9"/>
    <x v="8"/>
    <x v="3"/>
    <s v="FUR-FU-10002088"/>
    <s v="Furniture"/>
    <x v="3"/>
    <s v="Nu-Dell Float Frame 11 x 14 1/2"/>
    <n v="10.776"/>
    <n v="3"/>
    <n v="-4.8491999999999997"/>
    <x v="4"/>
    <x v="5"/>
  </r>
  <r>
    <x v="885"/>
    <x v="609"/>
    <d v="2014-12-20T00:00:00"/>
    <x v="1"/>
    <s v="BM-11785"/>
    <s v="Bryan Mills"/>
    <x v="0"/>
    <s v="United States"/>
    <x v="260"/>
    <x v="1"/>
    <x v="0"/>
    <s v="FUR-CH-10002439"/>
    <s v="Furniture"/>
    <x v="1"/>
    <s v="Iceberg Nesting Folding Chair, 19w x 6d x 43h"/>
    <n v="186.304"/>
    <n v="4"/>
    <n v="13.972799999999999"/>
    <x v="6"/>
    <x v="5"/>
  </r>
  <r>
    <x v="886"/>
    <x v="18"/>
    <d v="2015-11-13T00:00:00"/>
    <x v="3"/>
    <s v="HA-14905"/>
    <s v="Helen Abelman"/>
    <x v="0"/>
    <s v="United States"/>
    <x v="9"/>
    <x v="8"/>
    <x v="3"/>
    <s v="FUR-FU-10001025"/>
    <s v="Furniture"/>
    <x v="3"/>
    <s v="Eldon Imˆge Series Desk Accessories, Clear"/>
    <n v="17.495999999999999"/>
    <n v="9"/>
    <n v="-7.4358000000000004"/>
    <x v="7"/>
    <x v="0"/>
  </r>
  <r>
    <x v="887"/>
    <x v="94"/>
    <d v="2014-09-14T00:00:00"/>
    <x v="3"/>
    <s v="DM-13015"/>
    <s v="Darrin Martin"/>
    <x v="0"/>
    <s v="United States"/>
    <x v="13"/>
    <x v="7"/>
    <x v="2"/>
    <s v="FUR-TA-10001039"/>
    <s v="Furniture"/>
    <x v="2"/>
    <s v="KI Adjustable-Height Table"/>
    <n v="464.29199999999997"/>
    <n v="9"/>
    <n v="-108.3348"/>
    <x v="7"/>
    <x v="4"/>
  </r>
  <r>
    <x v="888"/>
    <x v="297"/>
    <d v="2018-01-05T00:00:00"/>
    <x v="1"/>
    <s v="BP-11185"/>
    <s v="Ben Peterman"/>
    <x v="1"/>
    <s v="United States"/>
    <x v="261"/>
    <x v="2"/>
    <x v="1"/>
    <s v="FUR-FU-10002501"/>
    <s v="Furniture"/>
    <x v="3"/>
    <s v="Nu-Dell Executive Frame"/>
    <n v="101.12"/>
    <n v="8"/>
    <n v="37.414400000000001"/>
    <x v="1"/>
    <x v="5"/>
  </r>
  <r>
    <x v="889"/>
    <x v="282"/>
    <d v="2016-11-17T00:00:00"/>
    <x v="1"/>
    <s v="TS-21430"/>
    <s v="Tom Stivers"/>
    <x v="1"/>
    <s v="United States"/>
    <x v="258"/>
    <x v="37"/>
    <x v="3"/>
    <s v="FUR-FU-10003096"/>
    <s v="Furniture"/>
    <x v="3"/>
    <s v="Master Giant Foot Doorstop, Safety Yellow"/>
    <n v="30.36"/>
    <n v="4"/>
    <n v="13.0548"/>
    <x v="4"/>
    <x v="0"/>
  </r>
  <r>
    <x v="890"/>
    <x v="610"/>
    <d v="2016-04-05T00:00:00"/>
    <x v="1"/>
    <s v="FP-14320"/>
    <s v="Frank Preis"/>
    <x v="0"/>
    <s v="United States"/>
    <x v="13"/>
    <x v="7"/>
    <x v="2"/>
    <s v="FUR-CH-10000454"/>
    <s v="Furniture"/>
    <x v="1"/>
    <s v="Hon Deluxe Fabric Upholstered Stacking Chairs, Rounded Back"/>
    <n v="1317.492"/>
    <n v="6"/>
    <n v="292.77600000000001"/>
    <x v="4"/>
    <x v="6"/>
  </r>
  <r>
    <x v="891"/>
    <x v="611"/>
    <d v="2017-02-07T00:00:00"/>
    <x v="1"/>
    <s v="JL-15835"/>
    <s v="John Lee"/>
    <x v="0"/>
    <s v="United States"/>
    <x v="2"/>
    <x v="2"/>
    <x v="1"/>
    <s v="FUR-FU-10003039"/>
    <s v="Furniture"/>
    <x v="3"/>
    <s v="Howard Miller 11-1/2&quot; Diameter Grantwood Wall Clock"/>
    <n v="86.26"/>
    <n v="2"/>
    <n v="29.328399999999998"/>
    <x v="2"/>
    <x v="11"/>
  </r>
  <r>
    <x v="892"/>
    <x v="455"/>
    <d v="2017-12-31T00:00:00"/>
    <x v="1"/>
    <s v="JL-15175"/>
    <s v="James Lanier"/>
    <x v="2"/>
    <s v="United States"/>
    <x v="262"/>
    <x v="22"/>
    <x v="1"/>
    <s v="FUR-FU-10001731"/>
    <s v="Furniture"/>
    <x v="3"/>
    <s v="Acrylic Self-Standing Desk Frames"/>
    <n v="8.5440000000000005"/>
    <n v="4"/>
    <n v="1.9224000000000001"/>
    <x v="1"/>
    <x v="5"/>
  </r>
  <r>
    <x v="892"/>
    <x v="455"/>
    <d v="2017-12-31T00:00:00"/>
    <x v="1"/>
    <s v="JL-15175"/>
    <s v="James Lanier"/>
    <x v="2"/>
    <s v="United States"/>
    <x v="262"/>
    <x v="22"/>
    <x v="1"/>
    <s v="FUR-CH-10001394"/>
    <s v="Furniture"/>
    <x v="1"/>
    <s v="Global Leather Executive Chair"/>
    <n v="842.37599999999998"/>
    <n v="3"/>
    <n v="105.297"/>
    <x v="1"/>
    <x v="5"/>
  </r>
  <r>
    <x v="893"/>
    <x v="612"/>
    <d v="2015-08-08T00:00:00"/>
    <x v="2"/>
    <s v="KW-16570"/>
    <s v="Kelly Williams"/>
    <x v="0"/>
    <s v="United States"/>
    <x v="263"/>
    <x v="23"/>
    <x v="3"/>
    <s v="FUR-FU-10000305"/>
    <s v="Furniture"/>
    <x v="3"/>
    <s v="Tenex V2T-RE Standard Weight Series Chair Mat, 45&quot; x 53&quot;, Lip 25&quot; x 12&quot;"/>
    <n v="212.94"/>
    <n v="3"/>
    <n v="34.070399999999999"/>
    <x v="5"/>
    <x v="10"/>
  </r>
  <r>
    <x v="894"/>
    <x v="254"/>
    <d v="2017-07-04T00:00:00"/>
    <x v="0"/>
    <s v="GH-14410"/>
    <s v="Gary Hansen"/>
    <x v="2"/>
    <s v="United States"/>
    <x v="9"/>
    <x v="8"/>
    <x v="3"/>
    <s v="FUR-CH-10000229"/>
    <s v="Furniture"/>
    <x v="1"/>
    <s v="Global Enterprise Series Seating High-Back Swivel/Tilt Chairs"/>
    <n v="569.05799999999999"/>
    <n v="3"/>
    <n v="-178.8468"/>
    <x v="4"/>
    <x v="2"/>
  </r>
  <r>
    <x v="894"/>
    <x v="254"/>
    <d v="2017-07-04T00:00:00"/>
    <x v="0"/>
    <s v="GH-14410"/>
    <s v="Gary Hansen"/>
    <x v="2"/>
    <s v="United States"/>
    <x v="9"/>
    <x v="8"/>
    <x v="3"/>
    <s v="FUR-FU-10003799"/>
    <s v="Furniture"/>
    <x v="3"/>
    <s v="Seth Thomas 13 1/2&quot; Wall Clock"/>
    <n v="14.224"/>
    <n v="2"/>
    <n v="-10.3124"/>
    <x v="4"/>
    <x v="2"/>
  </r>
  <r>
    <x v="895"/>
    <x v="613"/>
    <d v="2014-08-05T00:00:00"/>
    <x v="1"/>
    <s v="TS-21430"/>
    <s v="Tom Stivers"/>
    <x v="1"/>
    <s v="United States"/>
    <x v="15"/>
    <x v="13"/>
    <x v="1"/>
    <s v="FUR-BO-10002916"/>
    <s v="Furniture"/>
    <x v="0"/>
    <s v="Rush Hierlooms Collection 1&quot; Thick Stackable Bookcases"/>
    <n v="1367.84"/>
    <n v="8"/>
    <n v="259.88959999999997"/>
    <x v="6"/>
    <x v="3"/>
  </r>
  <r>
    <x v="896"/>
    <x v="515"/>
    <d v="2016-11-23T00:00:00"/>
    <x v="0"/>
    <s v="AJ-10945"/>
    <s v="Ashley Jarboe"/>
    <x v="0"/>
    <s v="United States"/>
    <x v="264"/>
    <x v="17"/>
    <x v="3"/>
    <s v="FUR-CH-10000863"/>
    <s v="Furniture"/>
    <x v="1"/>
    <s v="Novimex Swivel Fabric Task Chair"/>
    <n v="301.95999999999998"/>
    <n v="2"/>
    <n v="33.215600000000002"/>
    <x v="2"/>
    <x v="0"/>
  </r>
  <r>
    <x v="897"/>
    <x v="171"/>
    <d v="2015-07-11T00:00:00"/>
    <x v="1"/>
    <s v="SJ-20215"/>
    <s v="Sarah Jordon"/>
    <x v="0"/>
    <s v="United States"/>
    <x v="102"/>
    <x v="2"/>
    <x v="1"/>
    <s v="FUR-CH-10003968"/>
    <s v="Furniture"/>
    <x v="1"/>
    <s v="Novimex Turbo Task Chair"/>
    <n v="170.352"/>
    <n v="3"/>
    <n v="-17.0352"/>
    <x v="2"/>
    <x v="3"/>
  </r>
  <r>
    <x v="898"/>
    <x v="448"/>
    <d v="2014-11-16T00:00:00"/>
    <x v="1"/>
    <s v="SC-20020"/>
    <s v="Sam Craven"/>
    <x v="0"/>
    <s v="United States"/>
    <x v="265"/>
    <x v="17"/>
    <x v="3"/>
    <s v="FUR-CH-10004997"/>
    <s v="Furniture"/>
    <x v="1"/>
    <s v="Hon Every-Day Series Multi-Task Chairs"/>
    <n v="563.94000000000005"/>
    <n v="3"/>
    <n v="112.788"/>
    <x v="6"/>
    <x v="0"/>
  </r>
  <r>
    <x v="899"/>
    <x v="614"/>
    <d v="2016-05-29T00:00:00"/>
    <x v="0"/>
    <s v="LA-16780"/>
    <s v="Laura Armstrong"/>
    <x v="1"/>
    <s v="United States"/>
    <x v="25"/>
    <x v="17"/>
    <x v="3"/>
    <s v="FUR-CH-10002024"/>
    <s v="Furniture"/>
    <x v="1"/>
    <s v="HON 5400 Series Task Chairs for Big and Tall"/>
    <n v="3504.9"/>
    <n v="5"/>
    <n v="700.98"/>
    <x v="3"/>
    <x v="7"/>
  </r>
  <r>
    <x v="900"/>
    <x v="66"/>
    <d v="2017-10-24T00:00:00"/>
    <x v="1"/>
    <s v="CA-12265"/>
    <s v="Christina Anderson"/>
    <x v="0"/>
    <s v="United States"/>
    <x v="266"/>
    <x v="5"/>
    <x v="3"/>
    <s v="FUR-BO-10004360"/>
    <s v="Furniture"/>
    <x v="0"/>
    <s v="Rush Hierlooms Collection Rich Wood Bookcases"/>
    <n v="328.39920000000001"/>
    <n v="3"/>
    <n v="-91.758600000000001"/>
    <x v="2"/>
    <x v="1"/>
  </r>
  <r>
    <x v="901"/>
    <x v="315"/>
    <d v="2015-04-19T00:00:00"/>
    <x v="1"/>
    <s v="BT-11395"/>
    <s v="Bill Tyler"/>
    <x v="1"/>
    <s v="United States"/>
    <x v="2"/>
    <x v="2"/>
    <x v="1"/>
    <s v="FUR-FU-10004973"/>
    <s v="Furniture"/>
    <x v="3"/>
    <s v="Flat Face Poster Frame"/>
    <n v="37.68"/>
    <n v="2"/>
    <n v="15.8256"/>
    <x v="6"/>
    <x v="6"/>
  </r>
  <r>
    <x v="902"/>
    <x v="615"/>
    <d v="2015-09-18T00:00:00"/>
    <x v="1"/>
    <s v="ZC-21910"/>
    <s v="Zuschuss Carroll"/>
    <x v="0"/>
    <s v="United States"/>
    <x v="29"/>
    <x v="6"/>
    <x v="3"/>
    <s v="FUR-CH-10000015"/>
    <s v="Furniture"/>
    <x v="1"/>
    <s v="Hon Multipurpose Stacking Arm Chairs"/>
    <n v="1516.2"/>
    <n v="7"/>
    <n v="394.21199999999999"/>
    <x v="2"/>
    <x v="4"/>
  </r>
  <r>
    <x v="903"/>
    <x v="616"/>
    <d v="2014-12-01T00:00:00"/>
    <x v="0"/>
    <s v="CS-12250"/>
    <s v="Chris Selesnick"/>
    <x v="1"/>
    <s v="United States"/>
    <x v="11"/>
    <x v="10"/>
    <x v="0"/>
    <s v="FUR-FU-10003773"/>
    <s v="Furniture"/>
    <x v="3"/>
    <s v="Eldon Cleatmat Plus Chair Mats for High Pile Carpets"/>
    <n v="397.6"/>
    <n v="5"/>
    <n v="43.735999999999997"/>
    <x v="0"/>
    <x v="0"/>
  </r>
  <r>
    <x v="904"/>
    <x v="617"/>
    <d v="2015-08-19T00:00:00"/>
    <x v="1"/>
    <s v="RE-19450"/>
    <s v="Richard Eichhorn"/>
    <x v="0"/>
    <s v="United States"/>
    <x v="121"/>
    <x v="2"/>
    <x v="1"/>
    <s v="FUR-FU-10004018"/>
    <s v="Furniture"/>
    <x v="3"/>
    <s v="Tensor Computer Mounted Lamp"/>
    <n v="104.23"/>
    <n v="7"/>
    <n v="28.142099999999999"/>
    <x v="4"/>
    <x v="10"/>
  </r>
  <r>
    <x v="905"/>
    <x v="449"/>
    <d v="2017-09-01T00:00:00"/>
    <x v="3"/>
    <s v="CA-12775"/>
    <s v="Cynthia Arntzen"/>
    <x v="0"/>
    <s v="United States"/>
    <x v="25"/>
    <x v="17"/>
    <x v="3"/>
    <s v="FUR-CH-10004875"/>
    <s v="Furniture"/>
    <x v="1"/>
    <s v="Harbour Creations 67200 Series Stacking Chairs"/>
    <n v="498.26"/>
    <n v="7"/>
    <n v="134.53020000000001"/>
    <x v="7"/>
    <x v="4"/>
  </r>
  <r>
    <x v="906"/>
    <x v="618"/>
    <d v="2014-06-20T00:00:00"/>
    <x v="1"/>
    <s v="SR-20425"/>
    <s v="Sharelle Roach"/>
    <x v="2"/>
    <s v="United States"/>
    <x v="25"/>
    <x v="17"/>
    <x v="3"/>
    <s v="FUR-BO-10000711"/>
    <s v="Furniture"/>
    <x v="0"/>
    <s v="Hon Metal Bookcases, Gray"/>
    <n v="212.94"/>
    <n v="3"/>
    <n v="57.4938"/>
    <x v="6"/>
    <x v="2"/>
  </r>
  <r>
    <x v="907"/>
    <x v="619"/>
    <d v="2016-06-26T00:00:00"/>
    <x v="1"/>
    <s v="AS-10090"/>
    <s v="Adam Shillingsburg"/>
    <x v="0"/>
    <s v="United States"/>
    <x v="13"/>
    <x v="7"/>
    <x v="2"/>
    <s v="FUR-BO-10003272"/>
    <s v="Furniture"/>
    <x v="0"/>
    <s v="O'Sullivan Living Dimensions 5-Shelf Bookcases"/>
    <n v="353.56799999999998"/>
    <n v="2"/>
    <n v="-44.195999999999998"/>
    <x v="2"/>
    <x v="2"/>
  </r>
  <r>
    <x v="908"/>
    <x v="620"/>
    <d v="2017-03-22T00:00:00"/>
    <x v="0"/>
    <s v="SA-20830"/>
    <s v="Sue Ann Reed"/>
    <x v="0"/>
    <s v="United States"/>
    <x v="99"/>
    <x v="2"/>
    <x v="1"/>
    <s v="FUR-TA-10001095"/>
    <s v="Furniture"/>
    <x v="2"/>
    <s v="Chromcraft Round Conference Tables"/>
    <n v="697.16"/>
    <n v="5"/>
    <n v="8.7144999999999992"/>
    <x v="0"/>
    <x v="9"/>
  </r>
  <r>
    <x v="908"/>
    <x v="620"/>
    <d v="2017-03-22T00:00:00"/>
    <x v="0"/>
    <s v="SA-20830"/>
    <s v="Sue Ann Reed"/>
    <x v="0"/>
    <s v="United States"/>
    <x v="99"/>
    <x v="2"/>
    <x v="1"/>
    <s v="FUR-FU-10001185"/>
    <s v="Furniture"/>
    <x v="3"/>
    <s v="Advantus Employee of the Month Certificate Frame, 11 x 13-1/2"/>
    <n v="30.93"/>
    <n v="1"/>
    <n v="12.6813"/>
    <x v="0"/>
    <x v="9"/>
  </r>
  <r>
    <x v="909"/>
    <x v="305"/>
    <d v="2014-10-22T00:00:00"/>
    <x v="1"/>
    <s v="LS-17200"/>
    <s v="Luke Schmidt"/>
    <x v="1"/>
    <s v="United States"/>
    <x v="267"/>
    <x v="31"/>
    <x v="0"/>
    <s v="FUR-CH-10004626"/>
    <s v="Furniture"/>
    <x v="1"/>
    <s v="Office Star Flex Back Scooter Chair with Aluminum Finish Frame"/>
    <n v="605.34"/>
    <n v="6"/>
    <n v="145.2816"/>
    <x v="4"/>
    <x v="1"/>
  </r>
  <r>
    <x v="910"/>
    <x v="621"/>
    <d v="2017-08-23T00:00:00"/>
    <x v="2"/>
    <s v="TM-21490"/>
    <s v="Tony Molinari"/>
    <x v="0"/>
    <s v="United States"/>
    <x v="28"/>
    <x v="2"/>
    <x v="1"/>
    <s v="FUR-TA-10001768"/>
    <s v="Furniture"/>
    <x v="2"/>
    <s v="Hon Racetrack Conference Tables"/>
    <n v="210.00800000000001"/>
    <n v="1"/>
    <n v="2.6251000000000002"/>
    <x v="5"/>
    <x v="10"/>
  </r>
  <r>
    <x v="911"/>
    <x v="23"/>
    <d v="2014-09-24T00:00:00"/>
    <x v="1"/>
    <s v="DN-13690"/>
    <s v="Duane Noonan"/>
    <x v="0"/>
    <s v="United States"/>
    <x v="11"/>
    <x v="32"/>
    <x v="2"/>
    <s v="FUR-FU-10004952"/>
    <s v="Furniture"/>
    <x v="3"/>
    <s v="C-Line Cubicle Keepers Polyproplyene Holder w/Velcro Back, 8-1/2x11, 25/Bx"/>
    <n v="164.22"/>
    <n v="3"/>
    <n v="50.908200000000001"/>
    <x v="4"/>
    <x v="4"/>
  </r>
  <r>
    <x v="911"/>
    <x v="23"/>
    <d v="2014-09-24T00:00:00"/>
    <x v="1"/>
    <s v="DN-13690"/>
    <s v="Duane Noonan"/>
    <x v="0"/>
    <s v="United States"/>
    <x v="11"/>
    <x v="32"/>
    <x v="2"/>
    <s v="FUR-BO-10001337"/>
    <s v="Furniture"/>
    <x v="0"/>
    <s v="O'Sullivan Living Dimensions 2-Shelf Bookcases"/>
    <n v="362.94"/>
    <n v="3"/>
    <n v="36.293999999999997"/>
    <x v="4"/>
    <x v="4"/>
  </r>
  <r>
    <x v="912"/>
    <x v="622"/>
    <d v="2016-08-04T00:00:00"/>
    <x v="0"/>
    <s v="BF-11020"/>
    <s v="Barry Franzšsisch"/>
    <x v="1"/>
    <s v="United States"/>
    <x v="2"/>
    <x v="2"/>
    <x v="1"/>
    <s v="FUR-TA-10001691"/>
    <s v="Furniture"/>
    <x v="2"/>
    <s v="Barricks Non-Folding Utility Table with Steel Legs, Laminate Tops"/>
    <n v="136.464"/>
    <n v="2"/>
    <n v="15.3522"/>
    <x v="3"/>
    <x v="10"/>
  </r>
  <r>
    <x v="913"/>
    <x v="298"/>
    <d v="2015-03-07T00:00:00"/>
    <x v="0"/>
    <s v="AH-10195"/>
    <s v="Alan Haines"/>
    <x v="1"/>
    <s v="United States"/>
    <x v="268"/>
    <x v="3"/>
    <x v="2"/>
    <s v="FUR-CH-10002647"/>
    <s v="Furniture"/>
    <x v="1"/>
    <s v="Situations Contoured Folding Chairs, 4/Set"/>
    <n v="99.372"/>
    <n v="2"/>
    <n v="-7.0979999999999999"/>
    <x v="3"/>
    <x v="9"/>
  </r>
  <r>
    <x v="913"/>
    <x v="298"/>
    <d v="2015-03-07T00:00:00"/>
    <x v="0"/>
    <s v="AH-10195"/>
    <s v="Alan Haines"/>
    <x v="1"/>
    <s v="United States"/>
    <x v="268"/>
    <x v="3"/>
    <x v="2"/>
    <s v="FUR-FU-10003247"/>
    <s v="Furniture"/>
    <x v="3"/>
    <s v="36X48 HARDFLOOR CHAIRMAT"/>
    <n v="33.567999999999998"/>
    <n v="2"/>
    <n v="-5.4547999999999996"/>
    <x v="3"/>
    <x v="9"/>
  </r>
  <r>
    <x v="914"/>
    <x v="266"/>
    <d v="2014-09-10T00:00:00"/>
    <x v="2"/>
    <s v="SZ-20035"/>
    <s v="Sam Zeldin"/>
    <x v="2"/>
    <s v="United States"/>
    <x v="6"/>
    <x v="5"/>
    <x v="3"/>
    <s v="FUR-TA-10004154"/>
    <s v="Furniture"/>
    <x v="2"/>
    <s v="Riverside Furniture Oval Coffee Table, Oval End Table, End Table with Drawer"/>
    <n v="200.79499999999999"/>
    <n v="1"/>
    <n v="-22.948"/>
    <x v="0"/>
    <x v="4"/>
  </r>
  <r>
    <x v="915"/>
    <x v="91"/>
    <d v="2017-09-11T00:00:00"/>
    <x v="3"/>
    <s v="CB-12025"/>
    <s v="Cassandra Brandow"/>
    <x v="0"/>
    <s v="United States"/>
    <x v="28"/>
    <x v="2"/>
    <x v="1"/>
    <s v="FUR-FU-10000260"/>
    <s v="Furniture"/>
    <x v="3"/>
    <s v="6&quot; Cubicle Wall Clock, Black"/>
    <n v="32.36"/>
    <n v="4"/>
    <n v="11.6496"/>
    <x v="7"/>
    <x v="4"/>
  </r>
  <r>
    <x v="916"/>
    <x v="623"/>
    <d v="2017-01-16T00:00:00"/>
    <x v="3"/>
    <s v="JO-15145"/>
    <s v="Jack O'Briant"/>
    <x v="1"/>
    <s v="United States"/>
    <x v="2"/>
    <x v="2"/>
    <x v="1"/>
    <s v="FUR-FU-10001487"/>
    <s v="Furniture"/>
    <x v="3"/>
    <s v="Eldon Expressions Wood and Plastic Desk Accessories, Cherry Wood"/>
    <n v="27.92"/>
    <n v="4"/>
    <n v="8.0968"/>
    <x v="7"/>
    <x v="8"/>
  </r>
  <r>
    <x v="916"/>
    <x v="623"/>
    <d v="2017-01-16T00:00:00"/>
    <x v="3"/>
    <s v="JO-15145"/>
    <s v="Jack O'Briant"/>
    <x v="1"/>
    <s v="United States"/>
    <x v="2"/>
    <x v="2"/>
    <x v="1"/>
    <s v="FUR-TA-10001520"/>
    <s v="Furniture"/>
    <x v="2"/>
    <s v="Lesro Sheffield Collection Coffee Table, End Table, Center Table, Corner Table"/>
    <n v="399.67200000000003"/>
    <n v="7"/>
    <n v="-14.9877"/>
    <x v="7"/>
    <x v="8"/>
  </r>
  <r>
    <x v="917"/>
    <x v="86"/>
    <d v="2015-11-09T00:00:00"/>
    <x v="0"/>
    <s v="SV-20785"/>
    <s v="Stewart Visinsky"/>
    <x v="0"/>
    <s v="United States"/>
    <x v="259"/>
    <x v="43"/>
    <x v="2"/>
    <s v="FUR-CH-10000595"/>
    <s v="Furniture"/>
    <x v="1"/>
    <s v="Safco Contoured Stacking Chairs"/>
    <n v="715.2"/>
    <n v="3"/>
    <n v="178.8"/>
    <x v="3"/>
    <x v="0"/>
  </r>
  <r>
    <x v="918"/>
    <x v="624"/>
    <d v="2014-09-17T00:00:00"/>
    <x v="1"/>
    <s v="BC-11125"/>
    <s v="Becky Castell"/>
    <x v="2"/>
    <s v="United States"/>
    <x v="221"/>
    <x v="5"/>
    <x v="3"/>
    <s v="FUR-CH-10004698"/>
    <s v="Furniture"/>
    <x v="1"/>
    <s v="Padded Folding Chairs, Black, 4/Carton"/>
    <n v="340.11599999999999"/>
    <n v="6"/>
    <n v="-9.7175999999999991"/>
    <x v="4"/>
    <x v="4"/>
  </r>
  <r>
    <x v="919"/>
    <x v="278"/>
    <d v="2015-09-10T00:00:00"/>
    <x v="1"/>
    <s v="SP-20860"/>
    <s v="Sung Pak"/>
    <x v="1"/>
    <s v="United States"/>
    <x v="77"/>
    <x v="11"/>
    <x v="3"/>
    <s v="FUR-FU-10001706"/>
    <s v="Furniture"/>
    <x v="3"/>
    <s v="Longer-Life Soft White Bulbs"/>
    <n v="6.16"/>
    <n v="2"/>
    <n v="2.9567999999999999"/>
    <x v="2"/>
    <x v="4"/>
  </r>
  <r>
    <x v="920"/>
    <x v="625"/>
    <d v="2017-05-06T00:00:00"/>
    <x v="2"/>
    <s v="LH-17020"/>
    <s v="Lisa Hazard"/>
    <x v="0"/>
    <s v="United States"/>
    <x v="74"/>
    <x v="12"/>
    <x v="1"/>
    <s v="FUR-BO-10004467"/>
    <s v="Furniture"/>
    <x v="0"/>
    <s v="Bestar Classic Bookcase"/>
    <n v="89.991"/>
    <n v="3"/>
    <n v="-152.9847"/>
    <x v="5"/>
    <x v="7"/>
  </r>
  <r>
    <x v="921"/>
    <x v="30"/>
    <d v="2014-09-15T00:00:00"/>
    <x v="1"/>
    <s v="KT-16465"/>
    <s v="Kean Takahito"/>
    <x v="0"/>
    <s v="United States"/>
    <x v="6"/>
    <x v="5"/>
    <x v="3"/>
    <s v="FUR-CH-10004287"/>
    <s v="Furniture"/>
    <x v="1"/>
    <s v="SAFCO Arco Folding Chair"/>
    <n v="966.7"/>
    <n v="5"/>
    <n v="-13.81"/>
    <x v="1"/>
    <x v="4"/>
  </r>
  <r>
    <x v="922"/>
    <x v="626"/>
    <d v="2015-12-30T00:00:00"/>
    <x v="1"/>
    <s v="MC-18100"/>
    <s v="Mick Crebagga"/>
    <x v="0"/>
    <s v="United States"/>
    <x v="23"/>
    <x v="15"/>
    <x v="2"/>
    <s v="FUR-TA-10004086"/>
    <s v="Furniture"/>
    <x v="2"/>
    <s v="KI Adjustable-Height Table"/>
    <n v="51.588000000000001"/>
    <n v="1"/>
    <n v="-15.4764"/>
    <x v="4"/>
    <x v="5"/>
  </r>
  <r>
    <x v="923"/>
    <x v="534"/>
    <d v="2017-07-31T00:00:00"/>
    <x v="1"/>
    <s v="TM-21490"/>
    <s v="Tony Molinari"/>
    <x v="0"/>
    <s v="United States"/>
    <x v="90"/>
    <x v="7"/>
    <x v="2"/>
    <s v="FUR-FU-10004018"/>
    <s v="Furniture"/>
    <x v="3"/>
    <s v="Tensor Computer Mounted Lamp"/>
    <n v="14.89"/>
    <n v="1"/>
    <n v="4.0202999999999998"/>
    <x v="4"/>
    <x v="3"/>
  </r>
  <r>
    <x v="924"/>
    <x v="82"/>
    <d v="2016-06-03T00:00:00"/>
    <x v="1"/>
    <s v="AH-10690"/>
    <s v="Anna HŠberlin"/>
    <x v="1"/>
    <s v="United States"/>
    <x v="76"/>
    <x v="25"/>
    <x v="0"/>
    <s v="FUR-TA-10002645"/>
    <s v="Furniture"/>
    <x v="2"/>
    <s v="Hon Rectangular Conference Tables"/>
    <n v="2275.5"/>
    <n v="10"/>
    <n v="386.83499999999998"/>
    <x v="4"/>
    <x v="7"/>
  </r>
  <r>
    <x v="925"/>
    <x v="627"/>
    <d v="2014-11-20T00:00:00"/>
    <x v="1"/>
    <s v="AB-10165"/>
    <s v="Alan Barnes"/>
    <x v="0"/>
    <s v="United States"/>
    <x v="42"/>
    <x v="8"/>
    <x v="3"/>
    <s v="FUR-CH-10002017"/>
    <s v="Furniture"/>
    <x v="1"/>
    <s v="SAFCO Optional Arm Kit for Workspace Cribbage Stacking Chair"/>
    <n v="37.295999999999999"/>
    <n v="2"/>
    <n v="-1.0656000000000001"/>
    <x v="4"/>
    <x v="0"/>
  </r>
  <r>
    <x v="926"/>
    <x v="628"/>
    <d v="2014-09-23T00:00:00"/>
    <x v="2"/>
    <s v="JS-15940"/>
    <s v="Joni Sundaresam"/>
    <x v="2"/>
    <s v="United States"/>
    <x v="269"/>
    <x v="5"/>
    <x v="3"/>
    <s v="FUR-FU-10001546"/>
    <s v="Furniture"/>
    <x v="3"/>
    <s v="Dana Swing-Arm Lamps"/>
    <n v="8.5440000000000005"/>
    <n v="2"/>
    <n v="-7.476"/>
    <x v="3"/>
    <x v="4"/>
  </r>
  <r>
    <x v="927"/>
    <x v="629"/>
    <d v="2016-02-26T00:00:00"/>
    <x v="1"/>
    <s v="BV-11245"/>
    <s v="Benjamin Venier"/>
    <x v="1"/>
    <s v="United States"/>
    <x v="64"/>
    <x v="7"/>
    <x v="2"/>
    <s v="FUR-FU-10000629"/>
    <s v="Furniture"/>
    <x v="3"/>
    <s v="9-3/4 Diameter Round Wall Clock"/>
    <n v="68.95"/>
    <n v="5"/>
    <n v="28.959"/>
    <x v="2"/>
    <x v="11"/>
  </r>
  <r>
    <x v="928"/>
    <x v="49"/>
    <d v="2017-11-21T00:00:00"/>
    <x v="2"/>
    <s v="NC-18415"/>
    <s v="Nathan Cano"/>
    <x v="0"/>
    <s v="United States"/>
    <x v="6"/>
    <x v="5"/>
    <x v="3"/>
    <s v="FUR-CH-10003774"/>
    <s v="Furniture"/>
    <x v="1"/>
    <s v="Global Wood Trimmed Manager's Task Chair, Khaki"/>
    <n v="191.05799999999999"/>
    <n v="3"/>
    <n v="-46.399799999999999"/>
    <x v="3"/>
    <x v="0"/>
  </r>
  <r>
    <x v="929"/>
    <x v="393"/>
    <d v="2017-05-05T00:00:00"/>
    <x v="1"/>
    <s v="DJ-13510"/>
    <s v="Don Jones"/>
    <x v="1"/>
    <s v="United States"/>
    <x v="28"/>
    <x v="2"/>
    <x v="1"/>
    <s v="FUR-FU-10000222"/>
    <s v="Furniture"/>
    <x v="3"/>
    <s v="Seth Thomas 16&quot; Steel Case Clock"/>
    <n v="64.959999999999994"/>
    <n v="2"/>
    <n v="21.436800000000002"/>
    <x v="2"/>
    <x v="6"/>
  </r>
  <r>
    <x v="930"/>
    <x v="630"/>
    <d v="2016-05-08T00:00:00"/>
    <x v="1"/>
    <s v="DL-12865"/>
    <s v="Dan Lawera"/>
    <x v="0"/>
    <s v="United States"/>
    <x v="224"/>
    <x v="30"/>
    <x v="0"/>
    <s v="FUR-CH-10002304"/>
    <s v="Furniture"/>
    <x v="1"/>
    <s v="Global Stack Chair without Arms, Black"/>
    <n v="187.05600000000001"/>
    <n v="9"/>
    <n v="11.691000000000001"/>
    <x v="6"/>
    <x v="7"/>
  </r>
  <r>
    <x v="931"/>
    <x v="125"/>
    <d v="2017-10-05T00:00:00"/>
    <x v="2"/>
    <s v="Dp-13240"/>
    <s v="Dean percer"/>
    <x v="2"/>
    <s v="United States"/>
    <x v="270"/>
    <x v="9"/>
    <x v="0"/>
    <s v="FUR-FU-10002364"/>
    <s v="Furniture"/>
    <x v="3"/>
    <s v="Eldon Expressions Wood Desk Accessories, Oak"/>
    <n v="11.808"/>
    <n v="2"/>
    <n v="1.3284"/>
    <x v="0"/>
    <x v="1"/>
  </r>
  <r>
    <x v="931"/>
    <x v="125"/>
    <d v="2017-10-05T00:00:00"/>
    <x v="2"/>
    <s v="Dp-13240"/>
    <s v="Dean percer"/>
    <x v="2"/>
    <s v="United States"/>
    <x v="270"/>
    <x v="9"/>
    <x v="0"/>
    <s v="FUR-FU-10004864"/>
    <s v="Furniture"/>
    <x v="3"/>
    <s v="Eldon 500 Class Desk Accessories"/>
    <n v="9.6560000000000006"/>
    <n v="1"/>
    <n v="1.5690999999999999"/>
    <x v="0"/>
    <x v="1"/>
  </r>
  <r>
    <x v="931"/>
    <x v="125"/>
    <d v="2017-10-05T00:00:00"/>
    <x v="2"/>
    <s v="Dp-13240"/>
    <s v="Dean percer"/>
    <x v="2"/>
    <s v="United States"/>
    <x v="270"/>
    <x v="9"/>
    <x v="0"/>
    <s v="FUR-TA-10000198"/>
    <s v="Furniture"/>
    <x v="2"/>
    <s v="Chromcraft Bull-Nose Wood Oval Conference Tables &amp; Bases"/>
    <n v="2314.116"/>
    <n v="7"/>
    <n v="-1002.7836"/>
    <x v="0"/>
    <x v="1"/>
  </r>
  <r>
    <x v="931"/>
    <x v="125"/>
    <d v="2017-10-05T00:00:00"/>
    <x v="2"/>
    <s v="Dp-13240"/>
    <s v="Dean percer"/>
    <x v="2"/>
    <s v="United States"/>
    <x v="270"/>
    <x v="9"/>
    <x v="0"/>
    <s v="FUR-FU-10003691"/>
    <s v="Furniture"/>
    <x v="3"/>
    <s v="Eldon Image Series Desk Accessories, Ebony"/>
    <n v="19.760000000000002"/>
    <n v="2"/>
    <n v="5.9279999999999999"/>
    <x v="0"/>
    <x v="1"/>
  </r>
  <r>
    <x v="932"/>
    <x v="463"/>
    <d v="2015-12-09T00:00:00"/>
    <x v="1"/>
    <s v="TZ-21580"/>
    <s v="Tracy Zic"/>
    <x v="0"/>
    <s v="United States"/>
    <x v="174"/>
    <x v="2"/>
    <x v="1"/>
    <s v="FUR-FU-10004270"/>
    <s v="Furniture"/>
    <x v="3"/>
    <s v="Eldon Image Series Desk Accessories, Burgundy"/>
    <n v="25.08"/>
    <n v="6"/>
    <n v="9.0288000000000004"/>
    <x v="2"/>
    <x v="5"/>
  </r>
  <r>
    <x v="933"/>
    <x v="631"/>
    <d v="2016-09-08T00:00:00"/>
    <x v="1"/>
    <s v="CV-12295"/>
    <s v="Christina VanderZanden"/>
    <x v="0"/>
    <s v="United States"/>
    <x v="13"/>
    <x v="7"/>
    <x v="2"/>
    <s v="FUR-FU-10004748"/>
    <s v="Furniture"/>
    <x v="3"/>
    <s v="Howard Miller 16&quot; Diameter Gallery Wall Clock"/>
    <n v="63.94"/>
    <n v="1"/>
    <n v="24.936599999999999"/>
    <x v="4"/>
    <x v="4"/>
  </r>
  <r>
    <x v="934"/>
    <x v="632"/>
    <d v="2014-09-01T00:00:00"/>
    <x v="1"/>
    <s v="KB-16315"/>
    <s v="Karl Braun"/>
    <x v="0"/>
    <s v="United States"/>
    <x v="19"/>
    <x v="14"/>
    <x v="2"/>
    <s v="FUR-FU-10001731"/>
    <s v="Furniture"/>
    <x v="3"/>
    <s v="Acrylic Self-Standing Desk Frames"/>
    <n v="10.68"/>
    <n v="4"/>
    <n v="4.0583999999999998"/>
    <x v="6"/>
    <x v="10"/>
  </r>
  <r>
    <x v="935"/>
    <x v="633"/>
    <d v="2014-05-19T00:00:00"/>
    <x v="1"/>
    <s v="AH-10030"/>
    <s v="Aaron Hawkins"/>
    <x v="1"/>
    <s v="United States"/>
    <x v="2"/>
    <x v="2"/>
    <x v="1"/>
    <s v="FUR-CH-10002439"/>
    <s v="Furniture"/>
    <x v="1"/>
    <s v="Iceberg Nesting Folding Chair, 19w x 6d x 43h"/>
    <n v="279.45600000000002"/>
    <n v="6"/>
    <n v="20.959199999999999"/>
    <x v="6"/>
    <x v="7"/>
  </r>
  <r>
    <x v="936"/>
    <x v="438"/>
    <d v="2017-04-18T00:00:00"/>
    <x v="1"/>
    <s v="DW-13585"/>
    <s v="Dorothy Wardle"/>
    <x v="1"/>
    <s v="United States"/>
    <x v="160"/>
    <x v="30"/>
    <x v="0"/>
    <s v="FUR-BO-10003433"/>
    <s v="Furniture"/>
    <x v="0"/>
    <s v="Sauder Cornerstone Collection Library"/>
    <n v="198.27199999999999"/>
    <n v="8"/>
    <n v="-32.219200000000001"/>
    <x v="4"/>
    <x v="6"/>
  </r>
  <r>
    <x v="937"/>
    <x v="353"/>
    <d v="2017-01-02T00:00:00"/>
    <x v="1"/>
    <s v="CD-11920"/>
    <s v="Carlos Daly"/>
    <x v="0"/>
    <s v="United States"/>
    <x v="271"/>
    <x v="44"/>
    <x v="3"/>
    <s v="FUR-FU-10000672"/>
    <s v="Furniture"/>
    <x v="3"/>
    <s v="Executive Impressions 10&quot; Spectator Wall Clock"/>
    <n v="70.56"/>
    <n v="6"/>
    <n v="23.990400000000001"/>
    <x v="4"/>
    <x v="5"/>
  </r>
  <r>
    <x v="938"/>
    <x v="403"/>
    <d v="2017-04-12T00:00:00"/>
    <x v="1"/>
    <s v="NH-18610"/>
    <s v="Nicole Hansen"/>
    <x v="1"/>
    <s v="United States"/>
    <x v="272"/>
    <x v="17"/>
    <x v="3"/>
    <s v="FUR-FU-10004665"/>
    <s v="Furniture"/>
    <x v="3"/>
    <s v="3M Polarizing Task Lamp with Clamp Arm, Light Gray"/>
    <n v="273.95999999999998"/>
    <n v="2"/>
    <n v="71.229600000000005"/>
    <x v="4"/>
    <x v="6"/>
  </r>
  <r>
    <x v="938"/>
    <x v="403"/>
    <d v="2017-04-12T00:00:00"/>
    <x v="1"/>
    <s v="NH-18610"/>
    <s v="Nicole Hansen"/>
    <x v="1"/>
    <s v="United States"/>
    <x v="272"/>
    <x v="17"/>
    <x v="3"/>
    <s v="FUR-FU-10004188"/>
    <s v="Furniture"/>
    <x v="3"/>
    <s v="Luxo Professional Combination Clamp-On Lamps"/>
    <n v="306.89999999999998"/>
    <n v="3"/>
    <n v="79.793999999999997"/>
    <x v="4"/>
    <x v="6"/>
  </r>
  <r>
    <x v="939"/>
    <x v="634"/>
    <d v="2015-10-30T00:00:00"/>
    <x v="1"/>
    <s v="AG-10495"/>
    <s v="Andrew Gjertsen"/>
    <x v="1"/>
    <s v="United States"/>
    <x v="6"/>
    <x v="5"/>
    <x v="3"/>
    <s v="FUR-TA-10002607"/>
    <s v="Furniture"/>
    <x v="2"/>
    <s v="KI Conference Tables"/>
    <n v="347.36099999999999"/>
    <n v="7"/>
    <n v="-69.472200000000001"/>
    <x v="6"/>
    <x v="1"/>
  </r>
  <r>
    <x v="940"/>
    <x v="635"/>
    <d v="2014-11-25T00:00:00"/>
    <x v="1"/>
    <s v="GR-14560"/>
    <s v="Georgia Rosenberg"/>
    <x v="1"/>
    <s v="United States"/>
    <x v="16"/>
    <x v="14"/>
    <x v="2"/>
    <s v="FUR-BO-10000362"/>
    <s v="Furniture"/>
    <x v="0"/>
    <s v="Sauder Inglewood Library Bookcases"/>
    <n v="1025.8800000000001"/>
    <n v="6"/>
    <n v="235.95240000000001"/>
    <x v="6"/>
    <x v="0"/>
  </r>
  <r>
    <x v="941"/>
    <x v="211"/>
    <d v="2016-09-24T00:00:00"/>
    <x v="3"/>
    <s v="EB-13750"/>
    <s v="Edward Becker"/>
    <x v="1"/>
    <s v="United States"/>
    <x v="28"/>
    <x v="2"/>
    <x v="1"/>
    <s v="FUR-FU-10002501"/>
    <s v="Furniture"/>
    <x v="3"/>
    <s v="Nu-Dell Executive Frame"/>
    <n v="63.2"/>
    <n v="5"/>
    <n v="23.384"/>
    <x v="7"/>
    <x v="4"/>
  </r>
  <r>
    <x v="942"/>
    <x v="636"/>
    <d v="2016-04-14T00:00:00"/>
    <x v="1"/>
    <s v="HF-14995"/>
    <s v="Herbert Flentye"/>
    <x v="0"/>
    <s v="United States"/>
    <x v="2"/>
    <x v="2"/>
    <x v="1"/>
    <s v="FUR-BO-10001798"/>
    <s v="Furniture"/>
    <x v="0"/>
    <s v="Bush Somerset Collection Bookcase"/>
    <n v="556.66499999999996"/>
    <n v="5"/>
    <n v="6.5490000000000004"/>
    <x v="2"/>
    <x v="6"/>
  </r>
  <r>
    <x v="943"/>
    <x v="122"/>
    <d v="2016-12-06T00:00:00"/>
    <x v="2"/>
    <s v="NM-18520"/>
    <s v="Neoma Murray"/>
    <x v="0"/>
    <s v="United States"/>
    <x v="2"/>
    <x v="2"/>
    <x v="1"/>
    <s v="FUR-FU-10001085"/>
    <s v="Furniture"/>
    <x v="3"/>
    <s v="3M Polarizing Light Filter Sleeves"/>
    <n v="111.9"/>
    <n v="6"/>
    <n v="51.473999999999997"/>
    <x v="0"/>
    <x v="5"/>
  </r>
  <r>
    <x v="944"/>
    <x v="184"/>
    <d v="2016-06-14T00:00:00"/>
    <x v="3"/>
    <s v="MH-17290"/>
    <s v="Marc Harrigan"/>
    <x v="2"/>
    <s v="United States"/>
    <x v="2"/>
    <x v="2"/>
    <x v="1"/>
    <s v="FUR-BO-10004218"/>
    <s v="Furniture"/>
    <x v="0"/>
    <s v="Bush Heritage Pine Collection 5-Shelf Bookcase, Albany Pine Finish, *Special Order"/>
    <n v="599.16499999999996"/>
    <n v="5"/>
    <n v="35.244999999999997"/>
    <x v="7"/>
    <x v="2"/>
  </r>
  <r>
    <x v="945"/>
    <x v="637"/>
    <d v="2014-09-07T00:00:00"/>
    <x v="2"/>
    <s v="PR-18880"/>
    <s v="Patrick Ryan"/>
    <x v="0"/>
    <s v="United States"/>
    <x v="66"/>
    <x v="1"/>
    <x v="0"/>
    <s v="FUR-FU-10001967"/>
    <s v="Furniture"/>
    <x v="3"/>
    <s v="Telescoping Adjustable Floor Lamp"/>
    <n v="31.984000000000002"/>
    <n v="2"/>
    <n v="1.9990000000000001"/>
    <x v="3"/>
    <x v="4"/>
  </r>
  <r>
    <x v="946"/>
    <x v="638"/>
    <d v="2014-07-08T00:00:00"/>
    <x v="2"/>
    <s v="DM-13525"/>
    <s v="Don Miller"/>
    <x v="1"/>
    <s v="United States"/>
    <x v="273"/>
    <x v="1"/>
    <x v="0"/>
    <s v="FUR-FU-10001591"/>
    <s v="Furniture"/>
    <x v="3"/>
    <s v="Advantus Panel Wall Certificate Holder - 8.5x11"/>
    <n v="19.52"/>
    <n v="2"/>
    <n v="5.3680000000000003"/>
    <x v="0"/>
    <x v="3"/>
  </r>
  <r>
    <x v="946"/>
    <x v="638"/>
    <d v="2014-07-08T00:00:00"/>
    <x v="2"/>
    <s v="DM-13525"/>
    <s v="Don Miller"/>
    <x v="1"/>
    <s v="United States"/>
    <x v="273"/>
    <x v="1"/>
    <x v="0"/>
    <s v="FUR-FU-10003192"/>
    <s v="Furniture"/>
    <x v="3"/>
    <s v="Luxo Adjustable Task Clamp Lamp"/>
    <n v="213.21600000000001"/>
    <n v="3"/>
    <n v="15.991199999999999"/>
    <x v="0"/>
    <x v="3"/>
  </r>
  <r>
    <x v="947"/>
    <x v="639"/>
    <d v="2014-09-19T00:00:00"/>
    <x v="1"/>
    <s v="TA-21385"/>
    <s v="Tom Ashbrook"/>
    <x v="2"/>
    <s v="United States"/>
    <x v="274"/>
    <x v="44"/>
    <x v="3"/>
    <s v="FUR-FU-10003464"/>
    <s v="Furniture"/>
    <x v="3"/>
    <s v="Seth Thomas 8 1/2&quot; Cubicle Clock"/>
    <n v="40.56"/>
    <n v="2"/>
    <n v="12.979200000000001"/>
    <x v="1"/>
    <x v="4"/>
  </r>
  <r>
    <x v="948"/>
    <x v="297"/>
    <d v="2018-01-02T00:00:00"/>
    <x v="1"/>
    <s v="BS-11755"/>
    <s v="Bruce Stewart"/>
    <x v="0"/>
    <s v="United States"/>
    <x v="71"/>
    <x v="13"/>
    <x v="1"/>
    <s v="FUR-FU-10004093"/>
    <s v="Furniture"/>
    <x v="3"/>
    <s v="Hand-Finished Solid Wood Document Frame"/>
    <n v="68.459999999999994"/>
    <n v="2"/>
    <n v="20.538"/>
    <x v="4"/>
    <x v="5"/>
  </r>
  <r>
    <x v="949"/>
    <x v="362"/>
    <d v="2017-09-06T00:00:00"/>
    <x v="0"/>
    <s v="PK-19075"/>
    <s v="Pete Kriz"/>
    <x v="0"/>
    <s v="United States"/>
    <x v="28"/>
    <x v="2"/>
    <x v="1"/>
    <s v="FUR-TA-10001771"/>
    <s v="Furniture"/>
    <x v="2"/>
    <s v="Bush Cubix Conference Tables, Fully Assembled"/>
    <n v="1478.2719999999999"/>
    <n v="8"/>
    <n v="92.391999999999996"/>
    <x v="3"/>
    <x v="4"/>
  </r>
  <r>
    <x v="950"/>
    <x v="559"/>
    <d v="2017-10-04T00:00:00"/>
    <x v="1"/>
    <s v="BD-11725"/>
    <s v="Bruce Degenhardt"/>
    <x v="0"/>
    <s v="United States"/>
    <x v="2"/>
    <x v="2"/>
    <x v="1"/>
    <s v="FUR-FU-10001706"/>
    <s v="Furniture"/>
    <x v="3"/>
    <s v="Longer-Life Soft White Bulbs"/>
    <n v="9.24"/>
    <n v="3"/>
    <n v="4.4352"/>
    <x v="6"/>
    <x v="4"/>
  </r>
  <r>
    <x v="951"/>
    <x v="640"/>
    <d v="2014-01-20T00:00:00"/>
    <x v="2"/>
    <s v="TS-21340"/>
    <s v="Toby Swindell"/>
    <x v="0"/>
    <s v="United States"/>
    <x v="163"/>
    <x v="22"/>
    <x v="1"/>
    <s v="FUR-BO-10001972"/>
    <s v="Furniture"/>
    <x v="0"/>
    <s v="O'Sullivan 4-Shelf Bookcase in Odessa Pine"/>
    <n v="181.47"/>
    <n v="5"/>
    <n v="-320.59699999999998"/>
    <x v="5"/>
    <x v="8"/>
  </r>
  <r>
    <x v="952"/>
    <x v="641"/>
    <d v="2016-06-14T00:00:00"/>
    <x v="1"/>
    <s v="DB-13210"/>
    <s v="Dean Braden"/>
    <x v="0"/>
    <s v="United States"/>
    <x v="28"/>
    <x v="2"/>
    <x v="1"/>
    <s v="FUR-CH-10002774"/>
    <s v="Furniture"/>
    <x v="1"/>
    <s v="Global Deluxe Stacking Chair, Gray"/>
    <n v="122.352"/>
    <n v="3"/>
    <n v="13.7646"/>
    <x v="2"/>
    <x v="2"/>
  </r>
  <r>
    <x v="953"/>
    <x v="218"/>
    <d v="2014-09-27T00:00:00"/>
    <x v="2"/>
    <s v="KF-16285"/>
    <s v="Karen Ferguson"/>
    <x v="2"/>
    <s v="United States"/>
    <x v="53"/>
    <x v="2"/>
    <x v="1"/>
    <s v="FUR-CH-10000454"/>
    <s v="Furniture"/>
    <x v="1"/>
    <s v="Hon Deluxe Fabric Upholstered Stacking Chairs, Rounded Back"/>
    <n v="585.55200000000002"/>
    <n v="3"/>
    <n v="73.194000000000003"/>
    <x v="5"/>
    <x v="4"/>
  </r>
  <r>
    <x v="954"/>
    <x v="642"/>
    <d v="2017-12-23T00:00:00"/>
    <x v="1"/>
    <s v="TS-21505"/>
    <s v="Tony Sayre"/>
    <x v="0"/>
    <s v="United States"/>
    <x v="47"/>
    <x v="12"/>
    <x v="1"/>
    <s v="FUR-FU-10000320"/>
    <s v="Furniture"/>
    <x v="3"/>
    <s v="OIC Stacking Trays"/>
    <n v="13.36"/>
    <n v="5"/>
    <n v="4.008"/>
    <x v="4"/>
    <x v="5"/>
  </r>
  <r>
    <x v="954"/>
    <x v="642"/>
    <d v="2017-12-23T00:00:00"/>
    <x v="1"/>
    <s v="TS-21505"/>
    <s v="Tony Sayre"/>
    <x v="0"/>
    <s v="United States"/>
    <x v="47"/>
    <x v="12"/>
    <x v="1"/>
    <s v="FUR-BO-10000468"/>
    <s v="Furniture"/>
    <x v="0"/>
    <s v="O'Sullivan 2-Shelf Heavy-Duty Bookcases"/>
    <n v="102.018"/>
    <n v="7"/>
    <n v="-183.63239999999999"/>
    <x v="4"/>
    <x v="5"/>
  </r>
  <r>
    <x v="955"/>
    <x v="129"/>
    <d v="2017-02-04T00:00:00"/>
    <x v="1"/>
    <s v="EB-13870"/>
    <s v="Emily Burns"/>
    <x v="0"/>
    <s v="United States"/>
    <x v="89"/>
    <x v="1"/>
    <x v="0"/>
    <s v="FUR-CH-10002044"/>
    <s v="Furniture"/>
    <x v="1"/>
    <s v="Office Star - Contemporary Task Swivel chair with 2-way adjustable arms, Plum"/>
    <n v="419.13600000000002"/>
    <n v="4"/>
    <n v="-68.1096"/>
    <x v="2"/>
    <x v="8"/>
  </r>
  <r>
    <x v="956"/>
    <x v="535"/>
    <d v="2017-04-04T00:00:00"/>
    <x v="0"/>
    <s v="BF-11020"/>
    <s v="Barry Franzšsisch"/>
    <x v="1"/>
    <s v="United States"/>
    <x v="51"/>
    <x v="1"/>
    <x v="0"/>
    <s v="FUR-CH-10003774"/>
    <s v="Furniture"/>
    <x v="1"/>
    <s v="Global Wood Trimmed Manager's Task Chair, Khaki"/>
    <n v="218.352"/>
    <n v="3"/>
    <n v="-19.105799999999999"/>
    <x v="0"/>
    <x v="6"/>
  </r>
  <r>
    <x v="957"/>
    <x v="616"/>
    <d v="2014-11-28T00:00:00"/>
    <x v="3"/>
    <s v="DH-13675"/>
    <s v="Duane Huffman"/>
    <x v="2"/>
    <s v="United States"/>
    <x v="28"/>
    <x v="2"/>
    <x v="1"/>
    <s v="FUR-BO-10000330"/>
    <s v="Furniture"/>
    <x v="0"/>
    <s v="Sauder Camden County Barrister Bookcase, Planked Cherry Finish"/>
    <n v="411.33199999999999"/>
    <n v="4"/>
    <n v="-4.8391999999999999"/>
    <x v="7"/>
    <x v="0"/>
  </r>
  <r>
    <x v="958"/>
    <x v="316"/>
    <d v="2017-07-18T00:00:00"/>
    <x v="0"/>
    <s v="MM-18055"/>
    <s v="Michelle Moray"/>
    <x v="0"/>
    <s v="United States"/>
    <x v="13"/>
    <x v="7"/>
    <x v="2"/>
    <s v="FUR-CH-10002084"/>
    <s v="Furniture"/>
    <x v="1"/>
    <s v="Hon Mobius Operator's Chair"/>
    <n v="664.14599999999996"/>
    <n v="6"/>
    <n v="88.552800000000005"/>
    <x v="0"/>
    <x v="3"/>
  </r>
  <r>
    <x v="959"/>
    <x v="575"/>
    <d v="2017-11-06T00:00:00"/>
    <x v="1"/>
    <s v="TH-21115"/>
    <s v="Thea Hudgings"/>
    <x v="1"/>
    <s v="United States"/>
    <x v="3"/>
    <x v="3"/>
    <x v="2"/>
    <s v="FUR-FU-10001847"/>
    <s v="Furniture"/>
    <x v="3"/>
    <s v="Eldon Image Series Black Desk Accessories"/>
    <n v="3.3119999999999998"/>
    <n v="1"/>
    <n v="0.66239999999999999"/>
    <x v="4"/>
    <x v="0"/>
  </r>
  <r>
    <x v="960"/>
    <x v="643"/>
    <d v="2015-10-12T00:00:00"/>
    <x v="1"/>
    <s v="MB-17305"/>
    <s v="Maria Bertelson"/>
    <x v="0"/>
    <s v="United States"/>
    <x v="28"/>
    <x v="2"/>
    <x v="1"/>
    <s v="FUR-FU-10001588"/>
    <s v="Furniture"/>
    <x v="3"/>
    <s v="Deflect-o SuperTray Unbreakable Stackable Tray, Letter, Black"/>
    <n v="145.9"/>
    <n v="5"/>
    <n v="62.737000000000002"/>
    <x v="4"/>
    <x v="1"/>
  </r>
  <r>
    <x v="961"/>
    <x v="423"/>
    <d v="2017-12-09T00:00:00"/>
    <x v="1"/>
    <s v="MS-17980"/>
    <s v="Michael Stewart"/>
    <x v="1"/>
    <s v="United States"/>
    <x v="3"/>
    <x v="3"/>
    <x v="2"/>
    <s v="FUR-CH-10004540"/>
    <s v="Furniture"/>
    <x v="1"/>
    <s v="Global Chrome Stack Chair"/>
    <n v="239.96"/>
    <n v="10"/>
    <n v="-10.284000000000001"/>
    <x v="2"/>
    <x v="5"/>
  </r>
  <r>
    <x v="961"/>
    <x v="423"/>
    <d v="2017-12-09T00:00:00"/>
    <x v="1"/>
    <s v="MS-17980"/>
    <s v="Michael Stewart"/>
    <x v="1"/>
    <s v="United States"/>
    <x v="3"/>
    <x v="3"/>
    <x v="2"/>
    <s v="FUR-FU-10004093"/>
    <s v="Furniture"/>
    <x v="3"/>
    <s v="Hand-Finished Solid Wood Document Frame"/>
    <n v="54.768000000000001"/>
    <n v="2"/>
    <n v="6.8460000000000001"/>
    <x v="2"/>
    <x v="5"/>
  </r>
  <r>
    <x v="962"/>
    <x v="644"/>
    <d v="2017-05-26T00:00:00"/>
    <x v="1"/>
    <s v="LE-16810"/>
    <s v="Laurel Elliston"/>
    <x v="0"/>
    <s v="United States"/>
    <x v="9"/>
    <x v="8"/>
    <x v="3"/>
    <s v="FUR-CH-10000513"/>
    <s v="Furniture"/>
    <x v="1"/>
    <s v="High-Back Leather Manager's Chair"/>
    <n v="181.98599999999999"/>
    <n v="2"/>
    <n v="-54.595799999999997"/>
    <x v="4"/>
    <x v="7"/>
  </r>
  <r>
    <x v="963"/>
    <x v="645"/>
    <d v="2016-12-25T00:00:00"/>
    <x v="1"/>
    <s v="ES-14080"/>
    <s v="Erin Smith"/>
    <x v="1"/>
    <s v="United States"/>
    <x v="104"/>
    <x v="22"/>
    <x v="1"/>
    <s v="FUR-TA-10001086"/>
    <s v="Furniture"/>
    <x v="2"/>
    <s v="SAFCO PlanMaster Boards, 60w x 37-1/2d, White Melamine"/>
    <n v="455.97"/>
    <n v="6"/>
    <n v="-218.8656"/>
    <x v="6"/>
    <x v="5"/>
  </r>
  <r>
    <x v="964"/>
    <x v="87"/>
    <d v="2017-09-08T00:00:00"/>
    <x v="2"/>
    <s v="JM-16195"/>
    <s v="Justin MacKendrick"/>
    <x v="0"/>
    <s v="United States"/>
    <x v="275"/>
    <x v="4"/>
    <x v="1"/>
    <s v="FUR-FU-10002396"/>
    <s v="Furniture"/>
    <x v="3"/>
    <s v="DAX Copper Panel Document Frame, 5 x 7 Size"/>
    <n v="25.16"/>
    <n v="2"/>
    <n v="10.5672"/>
    <x v="5"/>
    <x v="4"/>
  </r>
  <r>
    <x v="965"/>
    <x v="352"/>
    <d v="2014-11-16T00:00:00"/>
    <x v="1"/>
    <s v="DB-12970"/>
    <s v="Darren Budd"/>
    <x v="1"/>
    <s v="United States"/>
    <x v="6"/>
    <x v="5"/>
    <x v="3"/>
    <s v="FUR-BO-10004467"/>
    <s v="Furniture"/>
    <x v="0"/>
    <s v="Bestar Classic Bookcase"/>
    <n v="67.993200000000002"/>
    <n v="1"/>
    <n v="-12.998699999999999"/>
    <x v="4"/>
    <x v="0"/>
  </r>
  <r>
    <x v="966"/>
    <x v="125"/>
    <d v="2017-10-06T00:00:00"/>
    <x v="0"/>
    <s v="JW-15220"/>
    <s v="Jane Waco"/>
    <x v="1"/>
    <s v="United States"/>
    <x v="132"/>
    <x v="33"/>
    <x v="0"/>
    <s v="FUR-FU-10002963"/>
    <s v="Furniture"/>
    <x v="3"/>
    <s v="Master Caster Door Stop, Gray"/>
    <n v="10.16"/>
    <n v="2"/>
    <n v="3.4544000000000001"/>
    <x v="4"/>
    <x v="1"/>
  </r>
  <r>
    <x v="967"/>
    <x v="646"/>
    <d v="2015-12-18T00:00:00"/>
    <x v="1"/>
    <s v="KD-16495"/>
    <s v="Keith Dawkins"/>
    <x v="1"/>
    <s v="United States"/>
    <x v="38"/>
    <x v="21"/>
    <x v="0"/>
    <s v="FUR-FU-10003829"/>
    <s v="Furniture"/>
    <x v="3"/>
    <s v="Stackable Trays"/>
    <n v="6.16"/>
    <n v="2"/>
    <n v="1.9712000000000001"/>
    <x v="4"/>
    <x v="5"/>
  </r>
  <r>
    <x v="968"/>
    <x v="647"/>
    <d v="2017-03-13T00:00:00"/>
    <x v="3"/>
    <s v="SU-20665"/>
    <s v="Stephanie Ulpright"/>
    <x v="2"/>
    <s v="United States"/>
    <x v="9"/>
    <x v="8"/>
    <x v="3"/>
    <s v="FUR-CH-10003606"/>
    <s v="Furniture"/>
    <x v="1"/>
    <s v="SAFCO Folding Chair Trolley"/>
    <n v="89.768000000000001"/>
    <n v="1"/>
    <n v="-2.5648"/>
    <x v="7"/>
    <x v="9"/>
  </r>
  <r>
    <x v="969"/>
    <x v="574"/>
    <d v="2016-12-16T00:00:00"/>
    <x v="1"/>
    <s v="RF-19840"/>
    <s v="Roy Franzšsisch"/>
    <x v="0"/>
    <s v="United States"/>
    <x v="102"/>
    <x v="2"/>
    <x v="1"/>
    <s v="FUR-FU-10004864"/>
    <s v="Furniture"/>
    <x v="3"/>
    <s v="Howard Miller 14-1/2&quot; Diameter Chrome Round Wall Clock"/>
    <n v="383.64"/>
    <n v="6"/>
    <n v="122.76479999999999"/>
    <x v="4"/>
    <x v="5"/>
  </r>
  <r>
    <x v="970"/>
    <x v="198"/>
    <d v="2017-09-14T00:00:00"/>
    <x v="0"/>
    <s v="LC-17050"/>
    <s v="Liz Carlisle"/>
    <x v="0"/>
    <s v="United States"/>
    <x v="2"/>
    <x v="2"/>
    <x v="1"/>
    <s v="FUR-CH-10003833"/>
    <s v="Furniture"/>
    <x v="1"/>
    <s v="Novimex Fabric Task Chair"/>
    <n v="243.92"/>
    <n v="5"/>
    <n v="-15.244999999999999"/>
    <x v="2"/>
    <x v="4"/>
  </r>
  <r>
    <x v="971"/>
    <x v="648"/>
    <d v="2017-10-08T00:00:00"/>
    <x v="1"/>
    <s v="PS-18970"/>
    <s v="Paul Stevenson"/>
    <x v="2"/>
    <s v="United States"/>
    <x v="218"/>
    <x v="32"/>
    <x v="2"/>
    <s v="FUR-FU-10000076"/>
    <s v="Furniture"/>
    <x v="3"/>
    <s v="24-Hour Round Wall Clock"/>
    <n v="19.98"/>
    <n v="1"/>
    <n v="8.5914000000000001"/>
    <x v="4"/>
    <x v="1"/>
  </r>
  <r>
    <x v="972"/>
    <x v="256"/>
    <d v="2014-12-19T00:00:00"/>
    <x v="0"/>
    <s v="JO-15280"/>
    <s v="Jas O'Carroll"/>
    <x v="0"/>
    <s v="United States"/>
    <x v="53"/>
    <x v="2"/>
    <x v="1"/>
    <s v="FUR-FU-10003829"/>
    <s v="Furniture"/>
    <x v="3"/>
    <s v="Stackable Trays"/>
    <n v="6.16"/>
    <n v="2"/>
    <n v="1.9712000000000001"/>
    <x v="4"/>
    <x v="5"/>
  </r>
  <r>
    <x v="973"/>
    <x v="137"/>
    <d v="2014-10-18T00:00:00"/>
    <x v="0"/>
    <s v="ML-17395"/>
    <s v="Marina Lichtenstein"/>
    <x v="1"/>
    <s v="United States"/>
    <x v="174"/>
    <x v="18"/>
    <x v="2"/>
    <s v="FUR-CH-10002880"/>
    <s v="Furniture"/>
    <x v="1"/>
    <s v="Global High-Back Leather Tilter, Burgundy"/>
    <n v="245.98"/>
    <n v="2"/>
    <n v="27.0578"/>
    <x v="2"/>
    <x v="1"/>
  </r>
  <r>
    <x v="974"/>
    <x v="649"/>
    <d v="2016-09-25T00:00:00"/>
    <x v="1"/>
    <s v="FM-14215"/>
    <s v="Filia McAdams"/>
    <x v="1"/>
    <s v="United States"/>
    <x v="224"/>
    <x v="30"/>
    <x v="0"/>
    <s v="FUR-FU-10001546"/>
    <s v="Furniture"/>
    <x v="3"/>
    <s v="Dana Swing-Arm Lamps"/>
    <n v="17.088000000000001"/>
    <n v="2"/>
    <n v="1.0680000000000001"/>
    <x v="2"/>
    <x v="4"/>
  </r>
  <r>
    <x v="974"/>
    <x v="649"/>
    <d v="2016-09-25T00:00:00"/>
    <x v="1"/>
    <s v="FM-14215"/>
    <s v="Filia McAdams"/>
    <x v="1"/>
    <s v="United States"/>
    <x v="224"/>
    <x v="30"/>
    <x v="0"/>
    <s v="FUR-CH-10002880"/>
    <s v="Furniture"/>
    <x v="1"/>
    <s v="Global High-Back Leather Tilter, Burgundy"/>
    <n v="98.391999999999996"/>
    <n v="1"/>
    <n v="-11.069100000000001"/>
    <x v="2"/>
    <x v="4"/>
  </r>
  <r>
    <x v="975"/>
    <x v="254"/>
    <d v="2017-07-04T00:00:00"/>
    <x v="1"/>
    <s v="DV-13045"/>
    <s v="Darrin Van Huff"/>
    <x v="1"/>
    <s v="United States"/>
    <x v="10"/>
    <x v="9"/>
    <x v="0"/>
    <s v="FUR-FU-10001591"/>
    <s v="Furniture"/>
    <x v="3"/>
    <s v="Advantus Panel Wall Certificate Holder - 8.5x11"/>
    <n v="19.52"/>
    <n v="2"/>
    <n v="5.3680000000000003"/>
    <x v="4"/>
    <x v="2"/>
  </r>
  <r>
    <x v="976"/>
    <x v="228"/>
    <d v="2016-09-30T00:00:00"/>
    <x v="1"/>
    <s v="SC-20695"/>
    <s v="Steve Chapman"/>
    <x v="1"/>
    <s v="United States"/>
    <x v="276"/>
    <x v="16"/>
    <x v="3"/>
    <s v="FUR-CH-10004218"/>
    <s v="Furniture"/>
    <x v="1"/>
    <s v="Global Fabric Manager's Chair, Dark Gray"/>
    <n v="201.96"/>
    <n v="2"/>
    <n v="50.49"/>
    <x v="2"/>
    <x v="4"/>
  </r>
  <r>
    <x v="976"/>
    <x v="228"/>
    <d v="2016-09-30T00:00:00"/>
    <x v="1"/>
    <s v="SC-20695"/>
    <s v="Steve Chapman"/>
    <x v="1"/>
    <s v="United States"/>
    <x v="276"/>
    <x v="16"/>
    <x v="3"/>
    <s v="FUR-FU-10000755"/>
    <s v="Furniture"/>
    <x v="3"/>
    <s v="Eldon Expressions Mahogany Wood Desk Collection"/>
    <n v="68.64"/>
    <n v="11"/>
    <n v="17.16"/>
    <x v="2"/>
    <x v="4"/>
  </r>
  <r>
    <x v="977"/>
    <x v="189"/>
    <d v="2014-10-01T00:00:00"/>
    <x v="0"/>
    <s v="PP-18955"/>
    <s v="Paul Prost"/>
    <x v="2"/>
    <s v="United States"/>
    <x v="15"/>
    <x v="13"/>
    <x v="1"/>
    <s v="FUR-FU-10001706"/>
    <s v="Furniture"/>
    <x v="3"/>
    <s v="Longer-Life Soft White Bulbs"/>
    <n v="6.16"/>
    <n v="2"/>
    <n v="2.9567999999999999"/>
    <x v="3"/>
    <x v="4"/>
  </r>
  <r>
    <x v="977"/>
    <x v="189"/>
    <d v="2014-10-01T00:00:00"/>
    <x v="0"/>
    <s v="PP-18955"/>
    <s v="Paul Prost"/>
    <x v="2"/>
    <s v="United States"/>
    <x v="15"/>
    <x v="13"/>
    <x v="1"/>
    <s v="FUR-TA-10002958"/>
    <s v="Furniture"/>
    <x v="2"/>
    <s v="Bevis Oval Conference Table, Walnut"/>
    <n v="2348.8200000000002"/>
    <n v="9"/>
    <n v="399.29939999999999"/>
    <x v="3"/>
    <x v="4"/>
  </r>
  <r>
    <x v="978"/>
    <x v="332"/>
    <d v="2017-07-01T00:00:00"/>
    <x v="1"/>
    <s v="DR-12880"/>
    <s v="Dan Reichenbach"/>
    <x v="1"/>
    <s v="United States"/>
    <x v="89"/>
    <x v="1"/>
    <x v="0"/>
    <s v="FUR-CH-10001545"/>
    <s v="Furniture"/>
    <x v="1"/>
    <s v="Hon Comfortask Task/Swivel Chairs"/>
    <n v="273.55200000000002"/>
    <n v="3"/>
    <n v="-13.6776"/>
    <x v="2"/>
    <x v="2"/>
  </r>
  <r>
    <x v="979"/>
    <x v="650"/>
    <d v="2016-08-23T00:00:00"/>
    <x v="0"/>
    <s v="RB-19465"/>
    <s v="Rick Bensley"/>
    <x v="2"/>
    <s v="United States"/>
    <x v="3"/>
    <x v="3"/>
    <x v="2"/>
    <s v="FUR-TA-10002530"/>
    <s v="Furniture"/>
    <x v="2"/>
    <s v="Iceberg OfficeWorks 42&quot; Round Tables"/>
    <n v="815.29200000000003"/>
    <n v="9"/>
    <n v="-339.70499999999998"/>
    <x v="3"/>
    <x v="10"/>
  </r>
  <r>
    <x v="980"/>
    <x v="651"/>
    <d v="2014-02-15T00:00:00"/>
    <x v="1"/>
    <s v="NF-18385"/>
    <s v="Natalie Fritzler"/>
    <x v="0"/>
    <s v="United States"/>
    <x v="180"/>
    <x v="25"/>
    <x v="0"/>
    <s v="FUR-TA-10003715"/>
    <s v="Furniture"/>
    <x v="2"/>
    <s v="Hon 2111 Invitation Series Corner Table"/>
    <n v="1256.22"/>
    <n v="6"/>
    <n v="75.373199999999997"/>
    <x v="4"/>
    <x v="11"/>
  </r>
  <r>
    <x v="981"/>
    <x v="292"/>
    <d v="2017-04-02T00:00:00"/>
    <x v="1"/>
    <s v="ML-18040"/>
    <s v="Michelle Lonsdale"/>
    <x v="1"/>
    <s v="United States"/>
    <x v="54"/>
    <x v="17"/>
    <x v="3"/>
    <s v="FUR-FU-10004245"/>
    <s v="Furniture"/>
    <x v="3"/>
    <s v="Career Cubicle Clock, 8 1/4&quot;, Black"/>
    <n v="60.84"/>
    <n v="3"/>
    <n v="23.119199999999999"/>
    <x v="1"/>
    <x v="9"/>
  </r>
  <r>
    <x v="982"/>
    <x v="652"/>
    <d v="2014-12-27T00:00:00"/>
    <x v="1"/>
    <s v="GM-14440"/>
    <s v="Gary McGarr"/>
    <x v="0"/>
    <s v="United States"/>
    <x v="53"/>
    <x v="2"/>
    <x v="1"/>
    <s v="FUR-CH-10004287"/>
    <s v="Furniture"/>
    <x v="1"/>
    <s v="SAFCO Arco Folding Chair"/>
    <n v="1325.76"/>
    <n v="6"/>
    <n v="149.148"/>
    <x v="6"/>
    <x v="5"/>
  </r>
  <r>
    <x v="982"/>
    <x v="652"/>
    <d v="2014-12-27T00:00:00"/>
    <x v="1"/>
    <s v="GM-14440"/>
    <s v="Gary McGarr"/>
    <x v="0"/>
    <s v="United States"/>
    <x v="53"/>
    <x v="2"/>
    <x v="1"/>
    <s v="FUR-CH-10000595"/>
    <s v="Furniture"/>
    <x v="1"/>
    <s v="Safco Contoured Stacking Chairs"/>
    <n v="572.16"/>
    <n v="3"/>
    <n v="35.76"/>
    <x v="6"/>
    <x v="5"/>
  </r>
  <r>
    <x v="983"/>
    <x v="610"/>
    <d v="2016-04-05T00:00:00"/>
    <x v="0"/>
    <s v="DB-12910"/>
    <s v="Daniel Byrd"/>
    <x v="2"/>
    <s v="United States"/>
    <x v="29"/>
    <x v="24"/>
    <x v="0"/>
    <s v="FUR-FU-10003274"/>
    <s v="Furniture"/>
    <x v="3"/>
    <s v="Regeneration Desk Collection"/>
    <n v="7.04"/>
    <n v="4"/>
    <n v="3.0975999999999999"/>
    <x v="4"/>
    <x v="6"/>
  </r>
  <r>
    <x v="984"/>
    <x v="438"/>
    <d v="2017-04-19T00:00:00"/>
    <x v="1"/>
    <s v="HM-14860"/>
    <s v="Harry Marie"/>
    <x v="1"/>
    <s v="United States"/>
    <x v="277"/>
    <x v="18"/>
    <x v="2"/>
    <s v="FUR-FU-10004018"/>
    <s v="Furniture"/>
    <x v="3"/>
    <s v="Tensor Computer Mounted Lamp"/>
    <n v="74.45"/>
    <n v="5"/>
    <n v="20.101500000000001"/>
    <x v="2"/>
    <x v="6"/>
  </r>
  <r>
    <x v="985"/>
    <x v="653"/>
    <d v="2015-01-09T00:00:00"/>
    <x v="1"/>
    <s v="AG-10495"/>
    <s v="Andrew Gjertsen"/>
    <x v="1"/>
    <s v="United States"/>
    <x v="166"/>
    <x v="25"/>
    <x v="0"/>
    <s v="FUR-FU-10001473"/>
    <s v="Furniture"/>
    <x v="3"/>
    <s v="DAX Wood Document Frame"/>
    <n v="192.22"/>
    <n v="14"/>
    <n v="69.199200000000005"/>
    <x v="2"/>
    <x v="8"/>
  </r>
  <r>
    <x v="986"/>
    <x v="357"/>
    <d v="2017-07-19T00:00:00"/>
    <x v="0"/>
    <s v="AJ-10795"/>
    <s v="Anthony Johnson"/>
    <x v="1"/>
    <s v="United States"/>
    <x v="278"/>
    <x v="2"/>
    <x v="1"/>
    <s v="FUR-BO-10002613"/>
    <s v="Furniture"/>
    <x v="0"/>
    <s v="Atlantic Metals Mobile 4-Shelf Bookcases, Custom Colors"/>
    <n v="1194.165"/>
    <n v="5"/>
    <n v="210.73500000000001"/>
    <x v="3"/>
    <x v="3"/>
  </r>
  <r>
    <x v="987"/>
    <x v="105"/>
    <d v="2016-12-21T00:00:00"/>
    <x v="2"/>
    <s v="AH-10120"/>
    <s v="Adrian Hane"/>
    <x v="2"/>
    <s v="United States"/>
    <x v="279"/>
    <x v="36"/>
    <x v="1"/>
    <s v="FUR-TA-10002530"/>
    <s v="Furniture"/>
    <x v="2"/>
    <s v="Iceberg OfficeWorks 42&quot; Round Tables"/>
    <n v="377.45"/>
    <n v="5"/>
    <n v="-264.21499999999997"/>
    <x v="0"/>
    <x v="5"/>
  </r>
  <r>
    <x v="988"/>
    <x v="211"/>
    <d v="2016-10-01T00:00:00"/>
    <x v="1"/>
    <s v="CL-12700"/>
    <s v="Craig Leslie"/>
    <x v="2"/>
    <s v="United States"/>
    <x v="14"/>
    <x v="12"/>
    <x v="1"/>
    <s v="FUR-FU-10002671"/>
    <s v="Furniture"/>
    <x v="3"/>
    <s v="Electrix 20W Halogen Replacement Bulb for Zoom-In Desk Lamp"/>
    <n v="21.44"/>
    <n v="2"/>
    <n v="7.5039999999999996"/>
    <x v="1"/>
    <x v="4"/>
  </r>
  <r>
    <x v="989"/>
    <x v="654"/>
    <d v="2015-06-11T00:00:00"/>
    <x v="0"/>
    <s v="TG-21640"/>
    <s v="Trudy Glocke"/>
    <x v="0"/>
    <s v="United States"/>
    <x v="280"/>
    <x v="42"/>
    <x v="1"/>
    <s v="FUR-FU-10003192"/>
    <s v="Furniture"/>
    <x v="3"/>
    <s v="Luxo Adjustable Task Clamp Lamp"/>
    <n v="355.36"/>
    <n v="4"/>
    <n v="92.393600000000006"/>
    <x v="3"/>
    <x v="2"/>
  </r>
  <r>
    <x v="990"/>
    <x v="527"/>
    <d v="2015-01-05T00:00:00"/>
    <x v="1"/>
    <s v="ZC-21910"/>
    <s v="Zuschuss Carroll"/>
    <x v="0"/>
    <s v="United States"/>
    <x v="9"/>
    <x v="8"/>
    <x v="3"/>
    <s v="FUR-FU-10000193"/>
    <s v="Furniture"/>
    <x v="3"/>
    <s v="Tenex Chairmats For Use with Hard Floors"/>
    <n v="38.975999999999999"/>
    <n v="3"/>
    <n v="-50.668799999999997"/>
    <x v="1"/>
    <x v="5"/>
  </r>
  <r>
    <x v="991"/>
    <x v="655"/>
    <d v="2014-07-28T00:00:00"/>
    <x v="3"/>
    <s v="CK-12205"/>
    <s v="Chloris Kastensmidt"/>
    <x v="0"/>
    <s v="United States"/>
    <x v="281"/>
    <x v="1"/>
    <x v="0"/>
    <s v="FUR-FU-10003623"/>
    <s v="Furniture"/>
    <x v="3"/>
    <s v="DataProducts Ampli Magnifier Task Lamp, Black,"/>
    <n v="129.88800000000001"/>
    <n v="6"/>
    <n v="12.988799999999999"/>
    <x v="7"/>
    <x v="3"/>
  </r>
  <r>
    <x v="992"/>
    <x v="626"/>
    <d v="2015-12-31T00:00:00"/>
    <x v="1"/>
    <s v="RB-19705"/>
    <s v="Roger Barcio"/>
    <x v="2"/>
    <s v="United States"/>
    <x v="6"/>
    <x v="5"/>
    <x v="3"/>
    <s v="FUR-CH-10002044"/>
    <s v="Furniture"/>
    <x v="1"/>
    <s v="Office Star - Contemporary Task Swivel chair with 2-way adjustable arms, Plum"/>
    <n v="275.05799999999999"/>
    <n v="3"/>
    <n v="-90.376199999999997"/>
    <x v="2"/>
    <x v="5"/>
  </r>
  <r>
    <x v="993"/>
    <x v="479"/>
    <d v="2015-12-16T00:00:00"/>
    <x v="1"/>
    <s v="KM-16225"/>
    <s v="Kalyca Meade"/>
    <x v="1"/>
    <s v="United States"/>
    <x v="237"/>
    <x v="32"/>
    <x v="2"/>
    <s v="FUR-CH-10000785"/>
    <s v="Furniture"/>
    <x v="1"/>
    <s v="Global Ergonomic Managers Chair"/>
    <n v="542.94000000000005"/>
    <n v="3"/>
    <n v="141.1644"/>
    <x v="6"/>
    <x v="5"/>
  </r>
  <r>
    <x v="994"/>
    <x v="399"/>
    <d v="2016-05-07T00:00:00"/>
    <x v="0"/>
    <s v="AH-10465"/>
    <s v="Amy Hunt"/>
    <x v="0"/>
    <s v="United States"/>
    <x v="28"/>
    <x v="2"/>
    <x v="1"/>
    <s v="FUR-TA-10001676"/>
    <s v="Furniture"/>
    <x v="2"/>
    <s v="Hon 61000 Series Interactive Training Tables"/>
    <n v="71.087999999999994"/>
    <n v="2"/>
    <n v="-1.7771999999999999"/>
    <x v="3"/>
    <x v="7"/>
  </r>
  <r>
    <x v="995"/>
    <x v="609"/>
    <d v="2014-12-21T00:00:00"/>
    <x v="1"/>
    <s v="SS-20875"/>
    <s v="Sung Shariari"/>
    <x v="0"/>
    <s v="United States"/>
    <x v="149"/>
    <x v="15"/>
    <x v="2"/>
    <s v="FUR-TA-10002645"/>
    <s v="Furniture"/>
    <x v="2"/>
    <s v="Hon Rectangular Conference Tables"/>
    <n v="136.53"/>
    <n v="1"/>
    <n v="-52.336500000000001"/>
    <x v="1"/>
    <x v="5"/>
  </r>
  <r>
    <x v="996"/>
    <x v="190"/>
    <d v="2015-05-15T00:00:00"/>
    <x v="1"/>
    <s v="NW-18400"/>
    <s v="Natalie Webber"/>
    <x v="0"/>
    <s v="United States"/>
    <x v="13"/>
    <x v="7"/>
    <x v="2"/>
    <s v="FUR-FU-10001095"/>
    <s v="Furniture"/>
    <x v="3"/>
    <s v="DAX Black Cherry Wood-Tone Poster Frame"/>
    <n v="79.44"/>
    <n v="3"/>
    <n v="30.187200000000001"/>
    <x v="1"/>
    <x v="7"/>
  </r>
  <r>
    <x v="996"/>
    <x v="190"/>
    <d v="2015-05-15T00:00:00"/>
    <x v="1"/>
    <s v="NW-18400"/>
    <s v="Natalie Webber"/>
    <x v="0"/>
    <s v="United States"/>
    <x v="13"/>
    <x v="7"/>
    <x v="2"/>
    <s v="FUR-CH-10002647"/>
    <s v="Furniture"/>
    <x v="1"/>
    <s v="Situations Contoured Folding Chairs, 4/Set"/>
    <n v="127.764"/>
    <n v="2"/>
    <n v="21.294"/>
    <x v="1"/>
    <x v="7"/>
  </r>
  <r>
    <x v="997"/>
    <x v="64"/>
    <d v="2017-12-13T00:00:00"/>
    <x v="1"/>
    <s v="JP-15520"/>
    <s v="Jeremy Pistek"/>
    <x v="0"/>
    <s v="United States"/>
    <x v="123"/>
    <x v="16"/>
    <x v="3"/>
    <s v="FUR-BO-10003159"/>
    <s v="Furniture"/>
    <x v="0"/>
    <s v="Sauder Camden County Collection Libraries, Planked Cherry Finish"/>
    <n v="459.92"/>
    <n v="4"/>
    <n v="41.392800000000001"/>
    <x v="2"/>
    <x v="5"/>
  </r>
  <r>
    <x v="998"/>
    <x v="656"/>
    <d v="2017-07-02T00:00:00"/>
    <x v="2"/>
    <s v="DR-12880"/>
    <s v="Dan Reichenbach"/>
    <x v="1"/>
    <s v="United States"/>
    <x v="282"/>
    <x v="19"/>
    <x v="2"/>
    <s v="FUR-BO-10002598"/>
    <s v="Furniture"/>
    <x v="0"/>
    <s v="Hon Metal Bookcases, Putty"/>
    <n v="638.82000000000005"/>
    <n v="9"/>
    <n v="185.2578"/>
    <x v="0"/>
    <x v="2"/>
  </r>
  <r>
    <x v="998"/>
    <x v="656"/>
    <d v="2017-07-02T00:00:00"/>
    <x v="2"/>
    <s v="DR-12880"/>
    <s v="Dan Reichenbach"/>
    <x v="1"/>
    <s v="United States"/>
    <x v="282"/>
    <x v="19"/>
    <x v="2"/>
    <s v="FUR-FU-10003976"/>
    <s v="Furniture"/>
    <x v="3"/>
    <s v="DAX Executive Solid Wood Document Frame, Desktop or Hang, Mahogany, 5 x 7"/>
    <n v="25.16"/>
    <n v="2"/>
    <n v="8.5543999999999993"/>
    <x v="0"/>
    <x v="2"/>
  </r>
  <r>
    <x v="999"/>
    <x v="187"/>
    <d v="2014-01-25T00:00:00"/>
    <x v="1"/>
    <s v="MV-17485"/>
    <s v="Mark Van Huff"/>
    <x v="0"/>
    <s v="United States"/>
    <x v="2"/>
    <x v="2"/>
    <x v="1"/>
    <s v="FUR-FU-10003194"/>
    <s v="Furniture"/>
    <x v="3"/>
    <s v="Eldon Expressions Desk Accessory, Wood Pencil Holder, Oak"/>
    <n v="19.3"/>
    <n v="2"/>
    <n v="5.79"/>
    <x v="2"/>
    <x v="8"/>
  </r>
  <r>
    <x v="1000"/>
    <x v="657"/>
    <d v="2017-03-31T00:00:00"/>
    <x v="2"/>
    <s v="DH-13075"/>
    <s v="Dave Hallsten"/>
    <x v="1"/>
    <s v="United States"/>
    <x v="130"/>
    <x v="2"/>
    <x v="1"/>
    <s v="FUR-FU-10001095"/>
    <s v="Furniture"/>
    <x v="3"/>
    <s v="DAX Black Cherry Wood-Tone Poster Frame"/>
    <n v="26.48"/>
    <n v="1"/>
    <n v="10.0624"/>
    <x v="0"/>
    <x v="9"/>
  </r>
  <r>
    <x v="1000"/>
    <x v="657"/>
    <d v="2017-03-31T00:00:00"/>
    <x v="2"/>
    <s v="DH-13075"/>
    <s v="Dave Hallsten"/>
    <x v="1"/>
    <s v="United States"/>
    <x v="130"/>
    <x v="2"/>
    <x v="1"/>
    <s v="FUR-FU-10003829"/>
    <s v="Furniture"/>
    <x v="3"/>
    <s v="Stackable Trays"/>
    <n v="21.56"/>
    <n v="7"/>
    <n v="6.8992000000000004"/>
    <x v="0"/>
    <x v="9"/>
  </r>
  <r>
    <x v="1001"/>
    <x v="658"/>
    <d v="2014-06-05T00:00:00"/>
    <x v="1"/>
    <s v="SS-20410"/>
    <s v="Shahid Shariari"/>
    <x v="0"/>
    <s v="United States"/>
    <x v="283"/>
    <x v="8"/>
    <x v="3"/>
    <s v="FUR-TA-10001539"/>
    <s v="Furniture"/>
    <x v="2"/>
    <s v="Chromcraft Rectangular Conference Tables"/>
    <n v="355.45499999999998"/>
    <n v="3"/>
    <n v="-184.8366"/>
    <x v="6"/>
    <x v="7"/>
  </r>
  <r>
    <x v="1002"/>
    <x v="659"/>
    <d v="2016-02-10T00:00:00"/>
    <x v="1"/>
    <s v="LC-17050"/>
    <s v="Liz Carlisle"/>
    <x v="0"/>
    <s v="United States"/>
    <x v="52"/>
    <x v="0"/>
    <x v="0"/>
    <s v="FUR-CH-10000015"/>
    <s v="Furniture"/>
    <x v="1"/>
    <s v="Hon Multipurpose Stacking Arm Chairs"/>
    <n v="866.4"/>
    <n v="4"/>
    <n v="225.26400000000001"/>
    <x v="1"/>
    <x v="11"/>
  </r>
  <r>
    <x v="1003"/>
    <x v="660"/>
    <d v="2015-08-16T00:00:00"/>
    <x v="1"/>
    <s v="BW-11065"/>
    <s v="Barry Weirich"/>
    <x v="0"/>
    <s v="United States"/>
    <x v="168"/>
    <x v="30"/>
    <x v="0"/>
    <s v="FUR-FU-10004270"/>
    <s v="Furniture"/>
    <x v="3"/>
    <s v="Executive Impressions 13&quot; Clairmont Wall Clock"/>
    <n v="46.152000000000001"/>
    <n v="3"/>
    <n v="12.1149"/>
    <x v="2"/>
    <x v="10"/>
  </r>
  <r>
    <x v="1004"/>
    <x v="661"/>
    <d v="2017-08-15T00:00:00"/>
    <x v="2"/>
    <s v="JM-16195"/>
    <s v="Justin MacKendrick"/>
    <x v="0"/>
    <s v="United States"/>
    <x v="284"/>
    <x v="2"/>
    <x v="1"/>
    <s v="FUR-FU-10001473"/>
    <s v="Furniture"/>
    <x v="3"/>
    <s v="DAX Wood Document Frame"/>
    <n v="54.92"/>
    <n v="4"/>
    <n v="19.7712"/>
    <x v="0"/>
    <x v="10"/>
  </r>
  <r>
    <x v="1005"/>
    <x v="240"/>
    <d v="2015-11-05T00:00:00"/>
    <x v="2"/>
    <s v="FH-14365"/>
    <s v="Fred Hopkins"/>
    <x v="1"/>
    <s v="United States"/>
    <x v="62"/>
    <x v="7"/>
    <x v="2"/>
    <s v="FUR-CH-10004983"/>
    <s v="Furniture"/>
    <x v="1"/>
    <s v="Office Star - Mid Back Dual function Ergonomic High Back Chair with 2-Way Adjustable Arms"/>
    <n v="1448.82"/>
    <n v="10"/>
    <n v="209.274"/>
    <x v="3"/>
    <x v="0"/>
  </r>
  <r>
    <x v="1006"/>
    <x v="262"/>
    <d v="2015-09-28T00:00:00"/>
    <x v="1"/>
    <s v="SC-20440"/>
    <s v="Shaun Chance"/>
    <x v="1"/>
    <s v="United States"/>
    <x v="2"/>
    <x v="2"/>
    <x v="1"/>
    <s v="FUR-FU-10000010"/>
    <s v="Furniture"/>
    <x v="3"/>
    <s v="DAX Value U-Channel Document Frames, Easel Back"/>
    <n v="14.91"/>
    <n v="3"/>
    <n v="4.6220999999999997"/>
    <x v="4"/>
    <x v="4"/>
  </r>
  <r>
    <x v="1007"/>
    <x v="188"/>
    <d v="2016-04-16T00:00:00"/>
    <x v="1"/>
    <s v="BP-11290"/>
    <s v="Beth Paige"/>
    <x v="0"/>
    <s v="United States"/>
    <x v="2"/>
    <x v="2"/>
    <x v="1"/>
    <s v="FUR-CH-10001545"/>
    <s v="Furniture"/>
    <x v="1"/>
    <s v="Hon Comfortask Task/Swivel Chairs"/>
    <n v="638.28800000000001"/>
    <n v="7"/>
    <n v="-31.914400000000001"/>
    <x v="4"/>
    <x v="6"/>
  </r>
  <r>
    <x v="1008"/>
    <x v="163"/>
    <d v="2014-11-18T00:00:00"/>
    <x v="1"/>
    <s v="AP-10915"/>
    <s v="Arthur Prichep"/>
    <x v="0"/>
    <s v="United States"/>
    <x v="2"/>
    <x v="2"/>
    <x v="1"/>
    <s v="FUR-CH-10000988"/>
    <s v="Furniture"/>
    <x v="1"/>
    <s v="Hon Olson Stacker Stools"/>
    <n v="112.648"/>
    <n v="1"/>
    <n v="11.264799999999999"/>
    <x v="1"/>
    <x v="0"/>
  </r>
  <r>
    <x v="1009"/>
    <x v="125"/>
    <d v="2017-10-08T00:00:00"/>
    <x v="1"/>
    <s v="JK-16090"/>
    <s v="Juliana Krohn"/>
    <x v="0"/>
    <s v="United States"/>
    <x v="76"/>
    <x v="36"/>
    <x v="1"/>
    <s v="FUR-BO-10001972"/>
    <s v="Furniture"/>
    <x v="0"/>
    <s v="O'Sullivan 4-Shelf Bookcase in Odessa Pine"/>
    <n v="217.76400000000001"/>
    <n v="6"/>
    <n v="-384.71640000000002"/>
    <x v="6"/>
    <x v="1"/>
  </r>
  <r>
    <x v="1010"/>
    <x v="662"/>
    <d v="2017-04-14T00:00:00"/>
    <x v="0"/>
    <s v="MG-18205"/>
    <s v="Mitch Gastineau"/>
    <x v="1"/>
    <s v="United States"/>
    <x v="51"/>
    <x v="1"/>
    <x v="0"/>
    <s v="FUR-FU-10003829"/>
    <s v="Furniture"/>
    <x v="3"/>
    <s v="Stackable Trays"/>
    <n v="12.32"/>
    <n v="5"/>
    <n v="1.8480000000000001"/>
    <x v="4"/>
    <x v="6"/>
  </r>
  <r>
    <x v="1011"/>
    <x v="560"/>
    <d v="2017-10-02T00:00:00"/>
    <x v="2"/>
    <s v="PG-18820"/>
    <s v="Patrick Gardner"/>
    <x v="0"/>
    <s v="United States"/>
    <x v="175"/>
    <x v="2"/>
    <x v="1"/>
    <s v="FUR-CH-10002961"/>
    <s v="Furniture"/>
    <x v="1"/>
    <s v="Leather Task Chair, Black"/>
    <n v="72.784000000000006"/>
    <n v="1"/>
    <n v="0"/>
    <x v="0"/>
    <x v="4"/>
  </r>
  <r>
    <x v="1011"/>
    <x v="560"/>
    <d v="2017-10-02T00:00:00"/>
    <x v="2"/>
    <s v="PG-18820"/>
    <s v="Patrick Gardner"/>
    <x v="0"/>
    <s v="United States"/>
    <x v="175"/>
    <x v="2"/>
    <x v="1"/>
    <s v="FUR-FU-10004848"/>
    <s v="Furniture"/>
    <x v="3"/>
    <s v="Howard Miller 13-3/4&quot; Diameter Brushed Chrome Round Wall Clock"/>
    <n v="51.75"/>
    <n v="1"/>
    <n v="15.525"/>
    <x v="0"/>
    <x v="4"/>
  </r>
  <r>
    <x v="1012"/>
    <x v="189"/>
    <d v="2014-10-03T00:00:00"/>
    <x v="0"/>
    <s v="LD-17005"/>
    <s v="Lisa DeCherney"/>
    <x v="0"/>
    <s v="United States"/>
    <x v="13"/>
    <x v="7"/>
    <x v="2"/>
    <s v="FUR-FU-10000521"/>
    <s v="Furniture"/>
    <x v="3"/>
    <s v="Seth Thomas 14&quot; Putty-Colored Wall Clock"/>
    <n v="117.36"/>
    <n v="4"/>
    <n v="36.381599999999999"/>
    <x v="4"/>
    <x v="4"/>
  </r>
  <r>
    <x v="1013"/>
    <x v="663"/>
    <d v="2014-08-25T00:00:00"/>
    <x v="0"/>
    <s v="CR-12730"/>
    <s v="Craig Reiter"/>
    <x v="0"/>
    <s v="United States"/>
    <x v="9"/>
    <x v="8"/>
    <x v="3"/>
    <s v="FUR-CH-10004495"/>
    <s v="Furniture"/>
    <x v="1"/>
    <s v="Global Leather and Oak Executive Chair, Black"/>
    <n v="421.37200000000001"/>
    <n v="2"/>
    <n v="-6.0195999999999996"/>
    <x v="2"/>
    <x v="10"/>
  </r>
  <r>
    <x v="1014"/>
    <x v="596"/>
    <d v="2017-11-19T00:00:00"/>
    <x v="1"/>
    <s v="KE-16420"/>
    <s v="Katrina Edelman"/>
    <x v="1"/>
    <s v="United States"/>
    <x v="144"/>
    <x v="5"/>
    <x v="3"/>
    <s v="FUR-BO-10003441"/>
    <s v="Furniture"/>
    <x v="0"/>
    <s v="Bush Westfield Collection Bookcases, Fully Assembled"/>
    <n v="205.9992"/>
    <n v="3"/>
    <n v="-27.264600000000002"/>
    <x v="6"/>
    <x v="0"/>
  </r>
  <r>
    <x v="1015"/>
    <x v="664"/>
    <d v="2016-02-11T00:00:00"/>
    <x v="1"/>
    <s v="KB-16240"/>
    <s v="Karen Bern"/>
    <x v="1"/>
    <s v="United States"/>
    <x v="196"/>
    <x v="9"/>
    <x v="0"/>
    <s v="FUR-FU-10000723"/>
    <s v="Furniture"/>
    <x v="3"/>
    <s v="Deflect-o EconoMat Studded, No Bevel Mat for Low Pile Carpeting"/>
    <n v="132.22399999999999"/>
    <n v="4"/>
    <n v="-18.180800000000001"/>
    <x v="2"/>
    <x v="11"/>
  </r>
  <r>
    <x v="1016"/>
    <x v="665"/>
    <d v="2015-03-26T00:00:00"/>
    <x v="1"/>
    <s v="JD-16150"/>
    <s v="Justin Deggeller"/>
    <x v="1"/>
    <s v="United States"/>
    <x v="53"/>
    <x v="2"/>
    <x v="1"/>
    <s v="FUR-FU-10000747"/>
    <s v="Furniture"/>
    <x v="3"/>
    <s v="Tenex B1-RE Series Chair Mats for Low Pile Carpets"/>
    <n v="91.96"/>
    <n v="2"/>
    <n v="15.6332"/>
    <x v="4"/>
    <x v="9"/>
  </r>
  <r>
    <x v="1017"/>
    <x v="666"/>
    <d v="2017-05-18T00:00:00"/>
    <x v="1"/>
    <s v="CS-12175"/>
    <s v="Charles Sheldon"/>
    <x v="1"/>
    <s v="United States"/>
    <x v="28"/>
    <x v="2"/>
    <x v="1"/>
    <s v="FUR-TA-10001520"/>
    <s v="Furniture"/>
    <x v="2"/>
    <s v="Lesro Sheffield Collection Coffee Table, End Table, Center Table, Corner Table"/>
    <n v="285.48"/>
    <n v="5"/>
    <n v="-10.705500000000001"/>
    <x v="6"/>
    <x v="7"/>
  </r>
  <r>
    <x v="1018"/>
    <x v="667"/>
    <d v="2017-09-06T00:00:00"/>
    <x v="0"/>
    <s v="KB-16405"/>
    <s v="Katrina Bavinger"/>
    <x v="2"/>
    <s v="United States"/>
    <x v="13"/>
    <x v="7"/>
    <x v="2"/>
    <s v="FUR-CH-10004626"/>
    <s v="Furniture"/>
    <x v="1"/>
    <s v="Office Star Flex Back Scooter Chair with Aluminum Finish Frame"/>
    <n v="90.801000000000002"/>
    <n v="1"/>
    <n v="14.124599999999999"/>
    <x v="0"/>
    <x v="4"/>
  </r>
  <r>
    <x v="1018"/>
    <x v="667"/>
    <d v="2017-09-06T00:00:00"/>
    <x v="0"/>
    <s v="KB-16405"/>
    <s v="Katrina Bavinger"/>
    <x v="2"/>
    <s v="United States"/>
    <x v="13"/>
    <x v="7"/>
    <x v="2"/>
    <s v="FUR-CH-10004860"/>
    <s v="Furniture"/>
    <x v="1"/>
    <s v="Global Low Back Tilter Chair"/>
    <n v="181.76400000000001"/>
    <n v="2"/>
    <n v="-8.0784000000000002"/>
    <x v="0"/>
    <x v="4"/>
  </r>
  <r>
    <x v="1019"/>
    <x v="122"/>
    <d v="2016-12-07T00:00:00"/>
    <x v="1"/>
    <s v="MM-17920"/>
    <s v="Michael Moore"/>
    <x v="0"/>
    <s v="United States"/>
    <x v="52"/>
    <x v="6"/>
    <x v="3"/>
    <s v="FUR-TA-10004575"/>
    <s v="Furniture"/>
    <x v="2"/>
    <s v="Hon 5100 Series Wood Tables"/>
    <n v="581.96"/>
    <n v="2"/>
    <n v="104.75279999999999"/>
    <x v="4"/>
    <x v="5"/>
  </r>
  <r>
    <x v="1019"/>
    <x v="122"/>
    <d v="2016-12-07T00:00:00"/>
    <x v="1"/>
    <s v="MM-17920"/>
    <s v="Michael Moore"/>
    <x v="0"/>
    <s v="United States"/>
    <x v="52"/>
    <x v="6"/>
    <x v="3"/>
    <s v="FUR-CH-10004754"/>
    <s v="Furniture"/>
    <x v="1"/>
    <s v="Global Stack Chair with Arms, Black"/>
    <n v="29.98"/>
    <n v="1"/>
    <n v="8.0945999999999998"/>
    <x v="4"/>
    <x v="5"/>
  </r>
  <r>
    <x v="1020"/>
    <x v="668"/>
    <d v="2016-07-26T00:00:00"/>
    <x v="1"/>
    <s v="BP-11290"/>
    <s v="Beth Paige"/>
    <x v="0"/>
    <s v="United States"/>
    <x v="41"/>
    <x v="30"/>
    <x v="0"/>
    <s v="FUR-CH-10002961"/>
    <s v="Furniture"/>
    <x v="1"/>
    <s v="Leather Task Chair, Black"/>
    <n v="363.92"/>
    <n v="5"/>
    <n v="0"/>
    <x v="2"/>
    <x v="3"/>
  </r>
  <r>
    <x v="1021"/>
    <x v="159"/>
    <d v="2015-09-26T00:00:00"/>
    <x v="0"/>
    <s v="MG-17875"/>
    <s v="Michael Grace"/>
    <x v="2"/>
    <s v="United States"/>
    <x v="58"/>
    <x v="25"/>
    <x v="0"/>
    <s v="FUR-FU-10002554"/>
    <s v="Furniture"/>
    <x v="3"/>
    <s v="Westinghouse Floor Lamp with Metal Mesh Shade, Black"/>
    <n v="47.98"/>
    <n v="2"/>
    <n v="11.035399999999999"/>
    <x v="4"/>
    <x v="4"/>
  </r>
  <r>
    <x v="1022"/>
    <x v="669"/>
    <d v="2015-11-21T00:00:00"/>
    <x v="1"/>
    <s v="BS-11665"/>
    <s v="Brian Stugart"/>
    <x v="0"/>
    <s v="United States"/>
    <x v="53"/>
    <x v="2"/>
    <x v="1"/>
    <s v="FUR-FU-10002813"/>
    <s v="Furniture"/>
    <x v="3"/>
    <s v="DAX Contemporary Wood Frame with Silver Metal Mat, Desktop, 11 x 14 Size"/>
    <n v="80.959999999999994"/>
    <n v="4"/>
    <n v="29.145600000000002"/>
    <x v="4"/>
    <x v="0"/>
  </r>
  <r>
    <x v="1022"/>
    <x v="669"/>
    <d v="2015-11-21T00:00:00"/>
    <x v="1"/>
    <s v="BS-11665"/>
    <s v="Brian Stugart"/>
    <x v="0"/>
    <s v="United States"/>
    <x v="53"/>
    <x v="2"/>
    <x v="1"/>
    <s v="FUR-CH-10001708"/>
    <s v="Furniture"/>
    <x v="1"/>
    <s v="Office Star - Contemporary Swivel Chair with Padded Adjustable Arms and Flex Back"/>
    <n v="225.56800000000001"/>
    <n v="2"/>
    <n v="2.8195999999999999"/>
    <x v="4"/>
    <x v="0"/>
  </r>
  <r>
    <x v="1022"/>
    <x v="669"/>
    <d v="2015-11-21T00:00:00"/>
    <x v="1"/>
    <s v="BS-11665"/>
    <s v="Brian Stugart"/>
    <x v="0"/>
    <s v="United States"/>
    <x v="53"/>
    <x v="2"/>
    <x v="1"/>
    <s v="FUR-FU-10001591"/>
    <s v="Furniture"/>
    <x v="3"/>
    <s v="Advantus Panel Wall Certificate Holder - 8.5x11"/>
    <n v="36.6"/>
    <n v="3"/>
    <n v="15.372"/>
    <x v="4"/>
    <x v="0"/>
  </r>
  <r>
    <x v="1023"/>
    <x v="670"/>
    <d v="2015-11-14T00:00:00"/>
    <x v="1"/>
    <s v="PO-19180"/>
    <s v="Philisse Overcash"/>
    <x v="2"/>
    <s v="United States"/>
    <x v="18"/>
    <x v="11"/>
    <x v="3"/>
    <s v="FUR-FU-10004351"/>
    <s v="Furniture"/>
    <x v="3"/>
    <s v="Staple-based wall hangings"/>
    <n v="29.22"/>
    <n v="3"/>
    <n v="12.8568"/>
    <x v="4"/>
    <x v="0"/>
  </r>
  <r>
    <x v="1024"/>
    <x v="671"/>
    <d v="2015-08-11T00:00:00"/>
    <x v="1"/>
    <s v="AH-10690"/>
    <s v="Anna HŠberlin"/>
    <x v="1"/>
    <s v="United States"/>
    <x v="144"/>
    <x v="5"/>
    <x v="3"/>
    <s v="FUR-FU-10002364"/>
    <s v="Furniture"/>
    <x v="3"/>
    <s v="Eldon Expressions Wood Desk Accessories, Oak"/>
    <n v="14.76"/>
    <n v="5"/>
    <n v="-11.439"/>
    <x v="6"/>
    <x v="10"/>
  </r>
  <r>
    <x v="1025"/>
    <x v="667"/>
    <d v="2017-09-07T00:00:00"/>
    <x v="0"/>
    <s v="JK-15730"/>
    <s v="Joe Kamberova"/>
    <x v="0"/>
    <s v="United States"/>
    <x v="41"/>
    <x v="2"/>
    <x v="1"/>
    <s v="FUR-BO-10004218"/>
    <s v="Furniture"/>
    <x v="0"/>
    <s v="Bush Heritage Pine Collection 5-Shelf Bookcase, Albany Pine Finish, *Special Order"/>
    <n v="239.666"/>
    <n v="2"/>
    <n v="14.098000000000001"/>
    <x v="4"/>
    <x v="4"/>
  </r>
  <r>
    <x v="1026"/>
    <x v="341"/>
    <d v="2015-11-08T00:00:00"/>
    <x v="1"/>
    <s v="MS-17530"/>
    <s v="MaryBeth Skach"/>
    <x v="0"/>
    <s v="United States"/>
    <x v="285"/>
    <x v="31"/>
    <x v="0"/>
    <s v="FUR-TA-10002530"/>
    <s v="Furniture"/>
    <x v="2"/>
    <s v="Iceberg OfficeWorks 42&quot; Round Tables"/>
    <n v="301.95999999999998"/>
    <n v="2"/>
    <n v="45.293999999999997"/>
    <x v="1"/>
    <x v="0"/>
  </r>
  <r>
    <x v="1027"/>
    <x v="31"/>
    <d v="2014-08-07T00:00:00"/>
    <x v="0"/>
    <s v="RS-19420"/>
    <s v="Ricardo Sperren"/>
    <x v="1"/>
    <s v="United States"/>
    <x v="286"/>
    <x v="19"/>
    <x v="2"/>
    <s v="FUR-CH-10002335"/>
    <s v="Furniture"/>
    <x v="1"/>
    <s v="Hon GuestStacker Chair"/>
    <n v="1133.3499999999999"/>
    <n v="5"/>
    <n v="294.67099999999999"/>
    <x v="3"/>
    <x v="10"/>
  </r>
  <r>
    <x v="1028"/>
    <x v="267"/>
    <d v="2016-11-12T00:00:00"/>
    <x v="1"/>
    <s v="MA-17995"/>
    <s v="Michelle Arnett"/>
    <x v="2"/>
    <s v="United States"/>
    <x v="287"/>
    <x v="45"/>
    <x v="1"/>
    <s v="FUR-CH-10001215"/>
    <s v="Furniture"/>
    <x v="1"/>
    <s v="Global Troy Executive Leather Low-Back Tilter"/>
    <n v="1603.136"/>
    <n v="4"/>
    <n v="100.196"/>
    <x v="2"/>
    <x v="0"/>
  </r>
  <r>
    <x v="1029"/>
    <x v="184"/>
    <d v="2016-06-14T00:00:00"/>
    <x v="3"/>
    <s v="EB-13705"/>
    <s v="Ed Braxton"/>
    <x v="1"/>
    <s v="United States"/>
    <x v="261"/>
    <x v="2"/>
    <x v="1"/>
    <s v="FUR-TA-10001771"/>
    <s v="Furniture"/>
    <x v="2"/>
    <s v="Bush Cubix Conference Tables, Fully Assembled"/>
    <n v="1293.4880000000001"/>
    <n v="7"/>
    <n v="80.843000000000004"/>
    <x v="7"/>
    <x v="2"/>
  </r>
  <r>
    <x v="1030"/>
    <x v="211"/>
    <d v="2016-09-28T00:00:00"/>
    <x v="1"/>
    <s v="RD-19900"/>
    <s v="Ruben Dartt"/>
    <x v="0"/>
    <s v="United States"/>
    <x v="17"/>
    <x v="6"/>
    <x v="3"/>
    <s v="FUR-FU-10004006"/>
    <s v="Furniture"/>
    <x v="3"/>
    <s v="Deflect-o DuraMat Lighweight, Studded, Beveled Mat for Low Pile Carpeting"/>
    <n v="127.95"/>
    <n v="3"/>
    <n v="21.7515"/>
    <x v="4"/>
    <x v="4"/>
  </r>
  <r>
    <x v="1031"/>
    <x v="126"/>
    <d v="2016-09-22T00:00:00"/>
    <x v="1"/>
    <s v="JW-15220"/>
    <s v="Jane Waco"/>
    <x v="1"/>
    <s v="United States"/>
    <x v="53"/>
    <x v="2"/>
    <x v="1"/>
    <s v="FUR-CH-10001215"/>
    <s v="Furniture"/>
    <x v="1"/>
    <s v="Global Troy Executive Leather Low-Back Tilter"/>
    <n v="801.56799999999998"/>
    <n v="2"/>
    <n v="50.097999999999999"/>
    <x v="4"/>
    <x v="4"/>
  </r>
  <r>
    <x v="1031"/>
    <x v="126"/>
    <d v="2016-09-22T00:00:00"/>
    <x v="1"/>
    <s v="JW-15220"/>
    <s v="Jane Waco"/>
    <x v="1"/>
    <s v="United States"/>
    <x v="53"/>
    <x v="2"/>
    <x v="1"/>
    <s v="FUR-CH-10002880"/>
    <s v="Furniture"/>
    <x v="1"/>
    <s v="Global High-Back Leather Tilter, Burgundy"/>
    <n v="885.52800000000002"/>
    <n v="9"/>
    <n v="-99.621899999999997"/>
    <x v="4"/>
    <x v="4"/>
  </r>
  <r>
    <x v="1032"/>
    <x v="345"/>
    <d v="2016-03-15T00:00:00"/>
    <x v="0"/>
    <s v="EH-13765"/>
    <s v="Edward Hooks"/>
    <x v="1"/>
    <s v="United States"/>
    <x v="28"/>
    <x v="2"/>
    <x v="1"/>
    <s v="FUR-FU-10004712"/>
    <s v="Furniture"/>
    <x v="3"/>
    <s v="Westinghouse Mesh Shade Clip-On Gooseneck Lamp, Black"/>
    <n v="28.28"/>
    <n v="2"/>
    <n v="7.3528000000000002"/>
    <x v="3"/>
    <x v="9"/>
  </r>
  <r>
    <x v="1033"/>
    <x v="672"/>
    <d v="2016-04-09T00:00:00"/>
    <x v="1"/>
    <s v="ZD-21925"/>
    <s v="Zuschuss Donatelli"/>
    <x v="0"/>
    <s v="United States"/>
    <x v="52"/>
    <x v="6"/>
    <x v="3"/>
    <s v="FUR-FU-10003799"/>
    <s v="Furniture"/>
    <x v="3"/>
    <s v="Seth Thomas 13 1/2&quot; Wall Clock"/>
    <n v="71.12"/>
    <n v="4"/>
    <n v="22.0472"/>
    <x v="6"/>
    <x v="6"/>
  </r>
  <r>
    <x v="1034"/>
    <x v="673"/>
    <d v="2016-12-02T00:00:00"/>
    <x v="1"/>
    <s v="PC-18745"/>
    <s v="Pamela Coakley"/>
    <x v="1"/>
    <s v="United States"/>
    <x v="162"/>
    <x v="18"/>
    <x v="2"/>
    <s v="FUR-FU-10001889"/>
    <s v="Furniture"/>
    <x v="3"/>
    <s v="Ultra Door Pull Handle"/>
    <n v="31.56"/>
    <n v="3"/>
    <n v="10.4148"/>
    <x v="2"/>
    <x v="0"/>
  </r>
  <r>
    <x v="1035"/>
    <x v="674"/>
    <d v="2016-12-07T00:00:00"/>
    <x v="1"/>
    <s v="KD-16495"/>
    <s v="Keith Dawkins"/>
    <x v="1"/>
    <s v="United States"/>
    <x v="124"/>
    <x v="2"/>
    <x v="1"/>
    <s v="FUR-FU-10003026"/>
    <s v="Furniture"/>
    <x v="3"/>
    <s v="Eldon Regeneration Recycled Desk Accessories, Black"/>
    <n v="14.52"/>
    <n v="3"/>
    <n v="5.6627999999999998"/>
    <x v="2"/>
    <x v="5"/>
  </r>
  <r>
    <x v="1036"/>
    <x v="5"/>
    <d v="2015-09-23T00:00:00"/>
    <x v="1"/>
    <s v="PF-19120"/>
    <s v="Peter Fuller"/>
    <x v="0"/>
    <s v="United States"/>
    <x v="13"/>
    <x v="7"/>
    <x v="2"/>
    <s v="FUR-CH-10001973"/>
    <s v="Furniture"/>
    <x v="1"/>
    <s v="Office Star Flex Back Scooter Chair with White Frame"/>
    <n v="199.76400000000001"/>
    <n v="2"/>
    <n v="8.8783999999999992"/>
    <x v="6"/>
    <x v="4"/>
  </r>
  <r>
    <x v="1036"/>
    <x v="5"/>
    <d v="2015-09-23T00:00:00"/>
    <x v="1"/>
    <s v="PF-19120"/>
    <s v="Peter Fuller"/>
    <x v="0"/>
    <s v="United States"/>
    <x v="13"/>
    <x v="7"/>
    <x v="2"/>
    <s v="FUR-BO-10004834"/>
    <s v="Furniture"/>
    <x v="0"/>
    <s v="Riverside Palais Royal Lawyers Bookcase, Royale Cherry Finish"/>
    <n v="4228.7039999999997"/>
    <n v="6"/>
    <n v="158.57640000000001"/>
    <x v="6"/>
    <x v="4"/>
  </r>
  <r>
    <x v="1036"/>
    <x v="5"/>
    <d v="2015-09-23T00:00:00"/>
    <x v="1"/>
    <s v="PF-19120"/>
    <s v="Peter Fuller"/>
    <x v="0"/>
    <s v="United States"/>
    <x v="13"/>
    <x v="7"/>
    <x v="2"/>
    <s v="FUR-BO-10002213"/>
    <s v="Furniture"/>
    <x v="0"/>
    <s v="DMI Eclipse Executive Suite Bookcases"/>
    <n v="2003.92"/>
    <n v="5"/>
    <n v="-25.048999999999999"/>
    <x v="6"/>
    <x v="4"/>
  </r>
  <r>
    <x v="1037"/>
    <x v="675"/>
    <d v="2016-11-30T00:00:00"/>
    <x v="0"/>
    <s v="DK-13225"/>
    <s v="Dean Katz"/>
    <x v="1"/>
    <s v="United States"/>
    <x v="13"/>
    <x v="7"/>
    <x v="2"/>
    <s v="FUR-TA-10002958"/>
    <s v="Furniture"/>
    <x v="2"/>
    <s v="Bevis Oval Conference Table, Walnut"/>
    <n v="313.17599999999999"/>
    <n v="2"/>
    <n v="-120.0508"/>
    <x v="4"/>
    <x v="0"/>
  </r>
  <r>
    <x v="1038"/>
    <x v="676"/>
    <d v="2014-04-12T00:00:00"/>
    <x v="1"/>
    <s v="RA-19885"/>
    <s v="Ruben Ausman"/>
    <x v="1"/>
    <s v="United States"/>
    <x v="42"/>
    <x v="33"/>
    <x v="0"/>
    <s v="FUR-TA-10001086"/>
    <s v="Furniture"/>
    <x v="2"/>
    <s v="SAFCO PlanMaster Boards, 60w x 37-1/2d, White Melamine"/>
    <n v="1215.92"/>
    <n v="8"/>
    <n v="316.13920000000002"/>
    <x v="4"/>
    <x v="6"/>
  </r>
  <r>
    <x v="1039"/>
    <x v="524"/>
    <d v="2014-10-15T00:00:00"/>
    <x v="1"/>
    <s v="DB-13555"/>
    <s v="Dorothy Badders"/>
    <x v="1"/>
    <s v="United States"/>
    <x v="160"/>
    <x v="31"/>
    <x v="0"/>
    <s v="FUR-FU-10002107"/>
    <s v="Furniture"/>
    <x v="3"/>
    <s v="Eldon Pizzaz Desk Accessories"/>
    <n v="8.92"/>
    <n v="4"/>
    <n v="3.9247999999999998"/>
    <x v="4"/>
    <x v="1"/>
  </r>
  <r>
    <x v="1040"/>
    <x v="677"/>
    <d v="2017-07-09T00:00:00"/>
    <x v="2"/>
    <s v="RL-19615"/>
    <s v="Rob Lucas"/>
    <x v="0"/>
    <s v="United States"/>
    <x v="3"/>
    <x v="3"/>
    <x v="2"/>
    <s v="FUR-BO-10001519"/>
    <s v="Furniture"/>
    <x v="0"/>
    <s v="O'Sullivan 3-Shelf Heavy-Duty Bookcases"/>
    <n v="87.21"/>
    <n v="3"/>
    <n v="-45.349200000000003"/>
    <x v="3"/>
    <x v="3"/>
  </r>
  <r>
    <x v="1041"/>
    <x v="557"/>
    <d v="2016-07-04T00:00:00"/>
    <x v="3"/>
    <s v="RB-19465"/>
    <s v="Rick Bensley"/>
    <x v="2"/>
    <s v="United States"/>
    <x v="15"/>
    <x v="13"/>
    <x v="1"/>
    <s v="FUR-FU-10000221"/>
    <s v="Furniture"/>
    <x v="3"/>
    <s v="Master Caster Door Stop, Brown"/>
    <n v="25.4"/>
    <n v="5"/>
    <n v="8.6359999999999992"/>
    <x v="7"/>
    <x v="3"/>
  </r>
  <r>
    <x v="1042"/>
    <x v="678"/>
    <d v="2014-08-29T00:00:00"/>
    <x v="1"/>
    <s v="JM-15265"/>
    <s v="Janet Molinari"/>
    <x v="1"/>
    <s v="United States"/>
    <x v="2"/>
    <x v="2"/>
    <x v="1"/>
    <s v="FUR-FU-10000771"/>
    <s v="Furniture"/>
    <x v="3"/>
    <s v="Eldon 200 Class Desk Accessories, Smoke"/>
    <n v="6.28"/>
    <n v="1"/>
    <n v="2.6375999999999999"/>
    <x v="4"/>
    <x v="10"/>
  </r>
  <r>
    <x v="1043"/>
    <x v="163"/>
    <d v="2014-11-15T00:00:00"/>
    <x v="0"/>
    <s v="TS-21430"/>
    <s v="Tom Stivers"/>
    <x v="1"/>
    <s v="United States"/>
    <x v="288"/>
    <x v="3"/>
    <x v="2"/>
    <s v="FUR-FU-10000409"/>
    <s v="Furniture"/>
    <x v="3"/>
    <s v="GE 4 Foot Flourescent Tube, 40 Watt"/>
    <n v="23.968"/>
    <n v="2"/>
    <n v="7.7896000000000001"/>
    <x v="4"/>
    <x v="0"/>
  </r>
  <r>
    <x v="1043"/>
    <x v="163"/>
    <d v="2014-11-15T00:00:00"/>
    <x v="0"/>
    <s v="TS-21430"/>
    <s v="Tom Stivers"/>
    <x v="1"/>
    <s v="United States"/>
    <x v="288"/>
    <x v="3"/>
    <x v="2"/>
    <s v="FUR-BO-10002545"/>
    <s v="Furniture"/>
    <x v="0"/>
    <s v="Atlantic Metals Mobile 3-Shelf Bookcases, Custom Colors"/>
    <n v="521.96"/>
    <n v="4"/>
    <n v="-250.54079999999999"/>
    <x v="4"/>
    <x v="0"/>
  </r>
  <r>
    <x v="1044"/>
    <x v="679"/>
    <d v="2016-03-15T00:00:00"/>
    <x v="0"/>
    <s v="DK-13225"/>
    <s v="Dean Katz"/>
    <x v="1"/>
    <s v="United States"/>
    <x v="28"/>
    <x v="2"/>
    <x v="1"/>
    <s v="FUR-CH-10003746"/>
    <s v="Furniture"/>
    <x v="1"/>
    <s v="Hon 4070 Series Pagoda Round Back Stacking Chairs"/>
    <n v="770.35199999999998"/>
    <n v="3"/>
    <n v="77.035200000000003"/>
    <x v="0"/>
    <x v="9"/>
  </r>
  <r>
    <x v="1045"/>
    <x v="436"/>
    <d v="2017-02-14T00:00:00"/>
    <x v="0"/>
    <s v="ML-17395"/>
    <s v="Marina Lichtenstein"/>
    <x v="1"/>
    <s v="United States"/>
    <x v="2"/>
    <x v="2"/>
    <x v="1"/>
    <s v="FUR-FU-10003142"/>
    <s v="Furniture"/>
    <x v="3"/>
    <s v="Master Big Foot Doorstop, Beige"/>
    <n v="21.12"/>
    <n v="4"/>
    <n v="6.5472000000000001"/>
    <x v="2"/>
    <x v="11"/>
  </r>
  <r>
    <x v="1046"/>
    <x v="435"/>
    <d v="2014-07-22T00:00:00"/>
    <x v="2"/>
    <s v="CC-12145"/>
    <s v="Charles Crestani"/>
    <x v="0"/>
    <s v="United States"/>
    <x v="53"/>
    <x v="2"/>
    <x v="1"/>
    <s v="FUR-FU-10003577"/>
    <s v="Furniture"/>
    <x v="3"/>
    <s v="Nu-Dell Leatherette Frames"/>
    <n v="43.02"/>
    <n v="3"/>
    <n v="15.4872"/>
    <x v="3"/>
    <x v="3"/>
  </r>
  <r>
    <x v="1047"/>
    <x v="335"/>
    <d v="2017-02-11T00:00:00"/>
    <x v="1"/>
    <s v="BD-11770"/>
    <s v="Bryan Davis"/>
    <x v="0"/>
    <s v="United States"/>
    <x v="13"/>
    <x v="7"/>
    <x v="2"/>
    <s v="FUR-BO-10001811"/>
    <s v="Furniture"/>
    <x v="0"/>
    <s v="Atlantic Metals Mobile 5-Shelf Bookcases, Custom Colors"/>
    <n v="240.78399999999999"/>
    <n v="1"/>
    <n v="30.097999999999999"/>
    <x v="2"/>
    <x v="11"/>
  </r>
  <r>
    <x v="1048"/>
    <x v="266"/>
    <d v="2014-09-13T00:00:00"/>
    <x v="1"/>
    <s v="RB-19465"/>
    <s v="Rick Bensley"/>
    <x v="2"/>
    <s v="United States"/>
    <x v="169"/>
    <x v="37"/>
    <x v="3"/>
    <s v="FUR-TA-10001039"/>
    <s v="Furniture"/>
    <x v="2"/>
    <s v="KI Adjustable-Height Table"/>
    <n v="429.9"/>
    <n v="5"/>
    <n v="111.774"/>
    <x v="6"/>
    <x v="4"/>
  </r>
  <r>
    <x v="1048"/>
    <x v="266"/>
    <d v="2014-09-13T00:00:00"/>
    <x v="1"/>
    <s v="RB-19465"/>
    <s v="Rick Bensley"/>
    <x v="2"/>
    <s v="United States"/>
    <x v="169"/>
    <x v="37"/>
    <x v="3"/>
    <s v="FUR-CH-10004698"/>
    <s v="Furniture"/>
    <x v="1"/>
    <s v="Padded Folding Chairs, Black, 4/Carton"/>
    <n v="161.96"/>
    <n v="2"/>
    <n v="45.348799999999997"/>
    <x v="6"/>
    <x v="4"/>
  </r>
  <r>
    <x v="1049"/>
    <x v="680"/>
    <d v="2016-07-25T00:00:00"/>
    <x v="1"/>
    <s v="JS-16030"/>
    <s v="Joy Smith"/>
    <x v="0"/>
    <s v="United States"/>
    <x v="289"/>
    <x v="21"/>
    <x v="0"/>
    <s v="FUR-FU-10001185"/>
    <s v="Furniture"/>
    <x v="3"/>
    <s v="Advantus Employee of the Month Certificate Frame, 11 x 13-1/2"/>
    <n v="185.58"/>
    <n v="6"/>
    <n v="76.087800000000001"/>
    <x v="6"/>
    <x v="3"/>
  </r>
  <r>
    <x v="1049"/>
    <x v="680"/>
    <d v="2016-07-25T00:00:00"/>
    <x v="1"/>
    <s v="JS-16030"/>
    <s v="Joy Smith"/>
    <x v="0"/>
    <s v="United States"/>
    <x v="289"/>
    <x v="21"/>
    <x v="0"/>
    <s v="FUR-BO-10003546"/>
    <s v="Furniture"/>
    <x v="0"/>
    <s v="Hon 4-Shelf Metal Bookcases"/>
    <n v="504.9"/>
    <n v="5"/>
    <n v="126.22499999999999"/>
    <x v="6"/>
    <x v="3"/>
  </r>
  <r>
    <x v="1050"/>
    <x v="102"/>
    <d v="2017-09-21T00:00:00"/>
    <x v="1"/>
    <s v="ES-14020"/>
    <s v="Erica Smith"/>
    <x v="0"/>
    <s v="United States"/>
    <x v="2"/>
    <x v="2"/>
    <x v="1"/>
    <s v="FUR-CH-10003396"/>
    <s v="Furniture"/>
    <x v="1"/>
    <s v="Global Deluxe Steno Chair"/>
    <n v="184.75200000000001"/>
    <n v="3"/>
    <n v="-20.784600000000001"/>
    <x v="6"/>
    <x v="4"/>
  </r>
  <r>
    <x v="1051"/>
    <x v="106"/>
    <d v="2016-12-11T00:00:00"/>
    <x v="3"/>
    <s v="NS-18640"/>
    <s v="Noel Staavos"/>
    <x v="1"/>
    <s v="United States"/>
    <x v="29"/>
    <x v="15"/>
    <x v="2"/>
    <s v="FUR-CH-10003298"/>
    <s v="Furniture"/>
    <x v="1"/>
    <s v="Office Star - Contemporary Task Swivel chair with Loop Arms, Charcoal"/>
    <n v="458.43"/>
    <n v="5"/>
    <n v="-137.529"/>
    <x v="7"/>
    <x v="5"/>
  </r>
  <r>
    <x v="1051"/>
    <x v="106"/>
    <d v="2016-12-11T00:00:00"/>
    <x v="3"/>
    <s v="NS-18640"/>
    <s v="Noel Staavos"/>
    <x v="1"/>
    <s v="United States"/>
    <x v="29"/>
    <x v="15"/>
    <x v="2"/>
    <s v="FUR-TA-10003008"/>
    <s v="Furniture"/>
    <x v="2"/>
    <s v="Lesro Round Back Collection Coffee Table, End Table"/>
    <n v="328.59"/>
    <n v="3"/>
    <n v="-147.8655"/>
    <x v="7"/>
    <x v="5"/>
  </r>
  <r>
    <x v="1052"/>
    <x v="681"/>
    <d v="2014-12-14T00:00:00"/>
    <x v="1"/>
    <s v="SH-19975"/>
    <s v="Sally Hughsby"/>
    <x v="1"/>
    <s v="United States"/>
    <x v="290"/>
    <x v="42"/>
    <x v="1"/>
    <s v="FUR-CH-10001708"/>
    <s v="Furniture"/>
    <x v="1"/>
    <s v="Office Star - Contemporary Swivel Chair with Padded Adjustable Arms and Flex Back"/>
    <n v="338.35199999999998"/>
    <n v="3"/>
    <n v="4.2294"/>
    <x v="4"/>
    <x v="5"/>
  </r>
  <r>
    <x v="1053"/>
    <x v="536"/>
    <d v="2014-12-17T00:00:00"/>
    <x v="1"/>
    <s v="RF-19345"/>
    <s v="Randy Ferguson"/>
    <x v="1"/>
    <s v="United States"/>
    <x v="43"/>
    <x v="22"/>
    <x v="1"/>
    <s v="FUR-FU-10002553"/>
    <s v="Furniture"/>
    <x v="3"/>
    <s v="Electrix Incandescent Magnifying Lamp, Black"/>
    <n v="87.96"/>
    <n v="3"/>
    <n v="7.6965000000000003"/>
    <x v="4"/>
    <x v="5"/>
  </r>
  <r>
    <x v="1054"/>
    <x v="87"/>
    <d v="2017-09-11T00:00:00"/>
    <x v="1"/>
    <s v="AG-10390"/>
    <s v="Allen Goldenen"/>
    <x v="0"/>
    <s v="United States"/>
    <x v="2"/>
    <x v="2"/>
    <x v="1"/>
    <s v="FUR-FU-10002597"/>
    <s v="Furniture"/>
    <x v="3"/>
    <s v="C-Line Magnetic Cubicle Keepers, Clear Polypropylene"/>
    <n v="19.760000000000002"/>
    <n v="4"/>
    <n v="8.2992000000000008"/>
    <x v="4"/>
    <x v="4"/>
  </r>
  <r>
    <x v="1055"/>
    <x v="46"/>
    <d v="2015-11-07T00:00:00"/>
    <x v="1"/>
    <s v="SW-20245"/>
    <s v="Scot Wooten"/>
    <x v="0"/>
    <s v="United States"/>
    <x v="8"/>
    <x v="7"/>
    <x v="2"/>
    <s v="FUR-CH-10003535"/>
    <s v="Furniture"/>
    <x v="1"/>
    <s v="Global Armless Task Chair, Royal Blue"/>
    <n v="109.764"/>
    <n v="2"/>
    <n v="8.5372000000000003"/>
    <x v="2"/>
    <x v="0"/>
  </r>
  <r>
    <x v="1056"/>
    <x v="535"/>
    <d v="2017-04-03T00:00:00"/>
    <x v="2"/>
    <s v="GB-14530"/>
    <s v="George Bell"/>
    <x v="1"/>
    <s v="United States"/>
    <x v="73"/>
    <x v="10"/>
    <x v="0"/>
    <s v="FUR-FU-10004006"/>
    <s v="Furniture"/>
    <x v="3"/>
    <s v="Deflect-o DuraMat Lighweight, Studded, Beveled Mat for Low Pile Carpeting"/>
    <n v="127.95"/>
    <n v="3"/>
    <n v="21.7515"/>
    <x v="3"/>
    <x v="6"/>
  </r>
  <r>
    <x v="1057"/>
    <x v="226"/>
    <d v="2014-04-12T00:00:00"/>
    <x v="1"/>
    <s v="AY-10555"/>
    <s v="Andy Yotov"/>
    <x v="1"/>
    <s v="United States"/>
    <x v="2"/>
    <x v="2"/>
    <x v="1"/>
    <s v="FUR-FU-10000747"/>
    <s v="Furniture"/>
    <x v="3"/>
    <s v="Tenex B1-RE Series Chair Mats for Low Pile Carpets"/>
    <n v="91.96"/>
    <n v="2"/>
    <n v="15.6332"/>
    <x v="6"/>
    <x v="6"/>
  </r>
  <r>
    <x v="1057"/>
    <x v="226"/>
    <d v="2014-04-12T00:00:00"/>
    <x v="1"/>
    <s v="AY-10555"/>
    <s v="Andy Yotov"/>
    <x v="1"/>
    <s v="United States"/>
    <x v="2"/>
    <x v="2"/>
    <x v="1"/>
    <s v="FUR-FU-10001918"/>
    <s v="Furniture"/>
    <x v="3"/>
    <s v="C-Line Cubicle Keepers Polyproplyene Holder With Velcro Backings"/>
    <n v="33.11"/>
    <n v="7"/>
    <n v="12.9129"/>
    <x v="6"/>
    <x v="6"/>
  </r>
  <r>
    <x v="1058"/>
    <x v="682"/>
    <d v="2017-07-06T00:00:00"/>
    <x v="3"/>
    <s v="AH-10585"/>
    <s v="Angele Hood"/>
    <x v="0"/>
    <s v="United States"/>
    <x v="89"/>
    <x v="1"/>
    <x v="0"/>
    <s v="FUR-CH-10000155"/>
    <s v="Furniture"/>
    <x v="1"/>
    <s v="Global Comet Stacking Armless Chair"/>
    <n v="239.24"/>
    <n v="1"/>
    <n v="23.923999999999999"/>
    <x v="7"/>
    <x v="3"/>
  </r>
  <r>
    <x v="1059"/>
    <x v="683"/>
    <d v="2017-01-01T00:00:00"/>
    <x v="1"/>
    <s v="SS-20140"/>
    <s v="Saphhira Shifley"/>
    <x v="1"/>
    <s v="United States"/>
    <x v="291"/>
    <x v="28"/>
    <x v="2"/>
    <s v="FUR-FU-10003142"/>
    <s v="Furniture"/>
    <x v="3"/>
    <s v="Master Big Foot Doorstop, Beige"/>
    <n v="21.12"/>
    <n v="4"/>
    <n v="6.5472000000000001"/>
    <x v="1"/>
    <x v="5"/>
  </r>
  <r>
    <x v="1060"/>
    <x v="646"/>
    <d v="2015-12-18T00:00:00"/>
    <x v="1"/>
    <s v="PP-18955"/>
    <s v="Paul Prost"/>
    <x v="2"/>
    <s v="United States"/>
    <x v="2"/>
    <x v="2"/>
    <x v="1"/>
    <s v="FUR-FU-10002963"/>
    <s v="Furniture"/>
    <x v="3"/>
    <s v="Master Caster Door Stop, Gray"/>
    <n v="15.24"/>
    <n v="3"/>
    <n v="5.1816000000000004"/>
    <x v="4"/>
    <x v="5"/>
  </r>
  <r>
    <x v="1061"/>
    <x v="631"/>
    <d v="2016-09-08T00:00:00"/>
    <x v="1"/>
    <s v="AA-10645"/>
    <s v="Anna Andreadi"/>
    <x v="0"/>
    <s v="United States"/>
    <x v="292"/>
    <x v="0"/>
    <x v="0"/>
    <s v="FUR-FU-10003347"/>
    <s v="Furniture"/>
    <x v="3"/>
    <s v="Coloredge Poster Frame"/>
    <n v="42.6"/>
    <n v="3"/>
    <n v="16.614000000000001"/>
    <x v="4"/>
    <x v="4"/>
  </r>
  <r>
    <x v="1062"/>
    <x v="684"/>
    <d v="2016-02-08T00:00:00"/>
    <x v="1"/>
    <s v="TB-21520"/>
    <s v="Tracy Blumstein"/>
    <x v="0"/>
    <s v="United States"/>
    <x v="293"/>
    <x v="22"/>
    <x v="1"/>
    <s v="FUR-FU-10002088"/>
    <s v="Furniture"/>
    <x v="3"/>
    <s v="Nu-Dell Float Frame 11 x 14 1/2"/>
    <n v="14.368"/>
    <n v="2"/>
    <n v="3.9512"/>
    <x v="4"/>
    <x v="11"/>
  </r>
  <r>
    <x v="1063"/>
    <x v="405"/>
    <d v="2017-05-24T00:00:00"/>
    <x v="0"/>
    <s v="AH-10075"/>
    <s v="Adam Hart"/>
    <x v="1"/>
    <s v="United States"/>
    <x v="270"/>
    <x v="9"/>
    <x v="0"/>
    <s v="FUR-CH-10001482"/>
    <s v="Furniture"/>
    <x v="1"/>
    <s v="Office Star - Mesh Screen back chair with Vinyl seat"/>
    <n v="314.35199999999998"/>
    <n v="3"/>
    <n v="-35.364600000000003"/>
    <x v="2"/>
    <x v="7"/>
  </r>
  <r>
    <x v="1064"/>
    <x v="558"/>
    <d v="2015-09-08T00:00:00"/>
    <x v="1"/>
    <s v="CP-12085"/>
    <s v="Cathy Prescott"/>
    <x v="1"/>
    <s v="United States"/>
    <x v="104"/>
    <x v="22"/>
    <x v="1"/>
    <s v="FUR-FU-10002937"/>
    <s v="Furniture"/>
    <x v="3"/>
    <s v="GE 48&quot; Fluorescent Tube, Cool White Energy Saver, 34 Watts, 30/Box"/>
    <n v="238.15199999999999"/>
    <n v="3"/>
    <n v="89.307000000000002"/>
    <x v="2"/>
    <x v="4"/>
  </r>
  <r>
    <x v="1065"/>
    <x v="641"/>
    <d v="2016-06-16T00:00:00"/>
    <x v="1"/>
    <s v="BF-11215"/>
    <s v="Benjamin Farhat"/>
    <x v="2"/>
    <s v="United States"/>
    <x v="12"/>
    <x v="11"/>
    <x v="3"/>
    <s v="FUR-TA-10001771"/>
    <s v="Furniture"/>
    <x v="2"/>
    <s v="Bush Cubix Conference Tables, Fully Assembled"/>
    <n v="692.94"/>
    <n v="3"/>
    <n v="173.23500000000001"/>
    <x v="1"/>
    <x v="2"/>
  </r>
  <r>
    <x v="1066"/>
    <x v="348"/>
    <d v="2016-09-26T00:00:00"/>
    <x v="0"/>
    <s v="JS-15940"/>
    <s v="Joni Sundaresam"/>
    <x v="2"/>
    <s v="United States"/>
    <x v="68"/>
    <x v="15"/>
    <x v="2"/>
    <s v="FUR-FU-10004963"/>
    <s v="Furniture"/>
    <x v="3"/>
    <s v="Eldon 400 Class Desk Accessories, Black Carbon"/>
    <n v="28"/>
    <n v="4"/>
    <n v="7.7"/>
    <x v="0"/>
    <x v="4"/>
  </r>
  <r>
    <x v="1067"/>
    <x v="685"/>
    <d v="2017-05-24T00:00:00"/>
    <x v="1"/>
    <s v="CC-12430"/>
    <s v="Chuck Clark"/>
    <x v="2"/>
    <s v="United States"/>
    <x v="174"/>
    <x v="2"/>
    <x v="1"/>
    <s v="FUR-CH-10000225"/>
    <s v="Furniture"/>
    <x v="1"/>
    <s v="Global Geo Office Task Chair, Gray"/>
    <n v="518.27200000000005"/>
    <n v="8"/>
    <n v="-97.176000000000002"/>
    <x v="4"/>
    <x v="7"/>
  </r>
  <r>
    <x v="1067"/>
    <x v="685"/>
    <d v="2017-05-24T00:00:00"/>
    <x v="1"/>
    <s v="CC-12430"/>
    <s v="Chuck Clark"/>
    <x v="2"/>
    <s v="United States"/>
    <x v="174"/>
    <x v="2"/>
    <x v="1"/>
    <s v="FUR-FU-10002191"/>
    <s v="Furniture"/>
    <x v="3"/>
    <s v="G.E. Halogen Desk Lamp Bulbs"/>
    <n v="6.98"/>
    <n v="1"/>
    <n v="3.3504"/>
    <x v="4"/>
    <x v="7"/>
  </r>
  <r>
    <x v="1068"/>
    <x v="686"/>
    <d v="2016-09-07T00:00:00"/>
    <x v="1"/>
    <s v="PG-18820"/>
    <s v="Patrick Gardner"/>
    <x v="0"/>
    <s v="United States"/>
    <x v="13"/>
    <x v="7"/>
    <x v="2"/>
    <s v="FUR-FU-10004864"/>
    <s v="Furniture"/>
    <x v="3"/>
    <s v="Howard Miller 14-1/2&quot; Diameter Chrome Round Wall Clock"/>
    <n v="191.82"/>
    <n v="3"/>
    <n v="61.382399999999997"/>
    <x v="6"/>
    <x v="4"/>
  </r>
  <r>
    <x v="1069"/>
    <x v="687"/>
    <d v="2014-02-18T00:00:00"/>
    <x v="3"/>
    <s v="TB-21595"/>
    <s v="Troy Blackwell"/>
    <x v="0"/>
    <s v="United States"/>
    <x v="294"/>
    <x v="5"/>
    <x v="3"/>
    <s v="FUR-FU-10002396"/>
    <s v="Furniture"/>
    <x v="3"/>
    <s v="DAX Copper Panel Document Frame, 5 x 7 Size"/>
    <n v="25.16"/>
    <n v="5"/>
    <n v="-11.321999999999999"/>
    <x v="7"/>
    <x v="11"/>
  </r>
  <r>
    <x v="1070"/>
    <x v="646"/>
    <d v="2015-12-18T00:00:00"/>
    <x v="1"/>
    <s v="EH-13945"/>
    <s v="Eric Hoffmann"/>
    <x v="0"/>
    <s v="United States"/>
    <x v="46"/>
    <x v="2"/>
    <x v="1"/>
    <s v="FUR-FU-10004351"/>
    <s v="Furniture"/>
    <x v="3"/>
    <s v="Staple-based wall hangings"/>
    <n v="29.22"/>
    <n v="3"/>
    <n v="12.8568"/>
    <x v="4"/>
    <x v="5"/>
  </r>
  <r>
    <x v="1071"/>
    <x v="688"/>
    <d v="2017-09-26T00:00:00"/>
    <x v="1"/>
    <s v="SV-20365"/>
    <s v="Seth Vernon"/>
    <x v="0"/>
    <s v="United States"/>
    <x v="13"/>
    <x v="7"/>
    <x v="2"/>
    <s v="FUR-CH-10003846"/>
    <s v="Furniture"/>
    <x v="1"/>
    <s v="Hon Valutask Swivel Chairs"/>
    <n v="272.64600000000002"/>
    <n v="3"/>
    <n v="18.176400000000001"/>
    <x v="6"/>
    <x v="4"/>
  </r>
  <r>
    <x v="1071"/>
    <x v="688"/>
    <d v="2017-09-26T00:00:00"/>
    <x v="1"/>
    <s v="SV-20365"/>
    <s v="Seth Vernon"/>
    <x v="0"/>
    <s v="United States"/>
    <x v="13"/>
    <x v="7"/>
    <x v="2"/>
    <s v="FUR-CH-10003061"/>
    <s v="Furniture"/>
    <x v="1"/>
    <s v="Global Leather Task Chair, Black"/>
    <n v="80.991"/>
    <n v="1"/>
    <n v="8.0991"/>
    <x v="6"/>
    <x v="4"/>
  </r>
  <r>
    <x v="1071"/>
    <x v="688"/>
    <d v="2017-09-26T00:00:00"/>
    <x v="1"/>
    <s v="SV-20365"/>
    <s v="Seth Vernon"/>
    <x v="0"/>
    <s v="United States"/>
    <x v="13"/>
    <x v="7"/>
    <x v="2"/>
    <s v="FUR-CH-10004086"/>
    <s v="Furniture"/>
    <x v="1"/>
    <s v="Hon 4070 Series Pagoda Armless Upholstered Stacking Chairs"/>
    <n v="2888.127"/>
    <n v="11"/>
    <n v="609.71569999999997"/>
    <x v="6"/>
    <x v="4"/>
  </r>
  <r>
    <x v="1071"/>
    <x v="688"/>
    <d v="2017-09-26T00:00:00"/>
    <x v="1"/>
    <s v="SV-20365"/>
    <s v="Seth Vernon"/>
    <x v="0"/>
    <s v="United States"/>
    <x v="13"/>
    <x v="7"/>
    <x v="2"/>
    <s v="FUR-CH-10001215"/>
    <s v="Furniture"/>
    <x v="1"/>
    <s v="Global Troy Executive Leather Low-Back Tilter"/>
    <n v="2254.41"/>
    <n v="5"/>
    <n v="375.73500000000001"/>
    <x v="6"/>
    <x v="4"/>
  </r>
  <r>
    <x v="1072"/>
    <x v="621"/>
    <d v="2017-08-24T00:00:00"/>
    <x v="2"/>
    <s v="Dp-13240"/>
    <s v="Dean percer"/>
    <x v="2"/>
    <s v="United States"/>
    <x v="3"/>
    <x v="3"/>
    <x v="2"/>
    <s v="FUR-TA-10002356"/>
    <s v="Furniture"/>
    <x v="2"/>
    <s v="Bevis Boat-Shaped Conference Table"/>
    <n v="314.53199999999998"/>
    <n v="2"/>
    <n v="-83.875200000000007"/>
    <x v="3"/>
    <x v="10"/>
  </r>
  <r>
    <x v="1073"/>
    <x v="689"/>
    <d v="2016-11-16T00:00:00"/>
    <x v="1"/>
    <s v="SP-20920"/>
    <s v="Susan Pistek"/>
    <x v="0"/>
    <s v="United States"/>
    <x v="255"/>
    <x v="15"/>
    <x v="2"/>
    <s v="FUR-CH-10004495"/>
    <s v="Furniture"/>
    <x v="1"/>
    <s v="Global Leather and Oak Executive Chair, Black"/>
    <n v="1474.8019999999999"/>
    <n v="7"/>
    <n v="-21.0686"/>
    <x v="4"/>
    <x v="0"/>
  </r>
  <r>
    <x v="1073"/>
    <x v="689"/>
    <d v="2016-11-16T00:00:00"/>
    <x v="1"/>
    <s v="SP-20920"/>
    <s v="Susan Pistek"/>
    <x v="0"/>
    <s v="United States"/>
    <x v="255"/>
    <x v="15"/>
    <x v="2"/>
    <s v="FUR-CH-10000454"/>
    <s v="Furniture"/>
    <x v="1"/>
    <s v="Hon Deluxe Fabric Upholstered Stacking Chairs, Rounded Back"/>
    <n v="1537.0740000000001"/>
    <n v="9"/>
    <n v="0"/>
    <x v="4"/>
    <x v="0"/>
  </r>
  <r>
    <x v="1073"/>
    <x v="689"/>
    <d v="2016-11-16T00:00:00"/>
    <x v="1"/>
    <s v="SP-20920"/>
    <s v="Susan Pistek"/>
    <x v="0"/>
    <s v="United States"/>
    <x v="255"/>
    <x v="15"/>
    <x v="2"/>
    <s v="FUR-CH-10003746"/>
    <s v="Furniture"/>
    <x v="1"/>
    <s v="Hon 4070 Series Pagoda Round Back Stacking Chairs"/>
    <n v="449.37200000000001"/>
    <n v="2"/>
    <n v="-12.8392"/>
    <x v="4"/>
    <x v="0"/>
  </r>
  <r>
    <x v="1074"/>
    <x v="690"/>
    <d v="2017-09-25T00:00:00"/>
    <x v="1"/>
    <s v="JR-16210"/>
    <s v="Justin Ritter"/>
    <x v="1"/>
    <s v="United States"/>
    <x v="76"/>
    <x v="36"/>
    <x v="1"/>
    <s v="FUR-FU-10004864"/>
    <s v="Furniture"/>
    <x v="3"/>
    <s v="Howard Miller 14-1/2&quot; Diameter Chrome Round Wall Clock"/>
    <n v="409.21600000000001"/>
    <n v="8"/>
    <n v="61.382399999999997"/>
    <x v="6"/>
    <x v="4"/>
  </r>
  <r>
    <x v="1074"/>
    <x v="690"/>
    <d v="2017-09-25T00:00:00"/>
    <x v="1"/>
    <s v="JR-16210"/>
    <s v="Justin Ritter"/>
    <x v="1"/>
    <s v="United States"/>
    <x v="76"/>
    <x v="36"/>
    <x v="1"/>
    <s v="FUR-BO-10001972"/>
    <s v="Furniture"/>
    <x v="0"/>
    <s v="O'Sullivan 4-Shelf Bookcase in Odessa Pine"/>
    <n v="72.587999999999994"/>
    <n v="2"/>
    <n v="-128.2388"/>
    <x v="6"/>
    <x v="4"/>
  </r>
  <r>
    <x v="1075"/>
    <x v="691"/>
    <d v="2016-04-06T00:00:00"/>
    <x v="1"/>
    <s v="EH-13990"/>
    <s v="Erica Hackney"/>
    <x v="0"/>
    <s v="United States"/>
    <x v="13"/>
    <x v="7"/>
    <x v="2"/>
    <s v="FUR-CH-10003817"/>
    <s v="Furniture"/>
    <x v="1"/>
    <s v="Global Value Steno Chair, Gray"/>
    <n v="327.99599999999998"/>
    <n v="6"/>
    <n v="54.665999999999997"/>
    <x v="6"/>
    <x v="9"/>
  </r>
  <r>
    <x v="1076"/>
    <x v="421"/>
    <d v="2014-12-31T00:00:00"/>
    <x v="1"/>
    <s v="TB-21190"/>
    <s v="Thomas Brumley"/>
    <x v="2"/>
    <s v="United States"/>
    <x v="13"/>
    <x v="7"/>
    <x v="2"/>
    <s v="FUR-CH-10004477"/>
    <s v="Furniture"/>
    <x v="1"/>
    <s v="Global Push Button Manager's Chair, Indigo"/>
    <n v="767.21400000000006"/>
    <n v="14"/>
    <n v="161.9674"/>
    <x v="4"/>
    <x v="5"/>
  </r>
  <r>
    <x v="1077"/>
    <x v="692"/>
    <d v="2016-08-19T00:00:00"/>
    <x v="2"/>
    <s v="AO-10810"/>
    <s v="Anthony O'Donnell"/>
    <x v="1"/>
    <s v="United States"/>
    <x v="2"/>
    <x v="2"/>
    <x v="1"/>
    <s v="FUR-TA-10004152"/>
    <s v="Furniture"/>
    <x v="2"/>
    <s v="Barricks 18&quot; x 48&quot; Non-Folding Utility Table with Bottom Storage Shelf"/>
    <n v="161.28"/>
    <n v="2"/>
    <n v="12.096"/>
    <x v="0"/>
    <x v="10"/>
  </r>
  <r>
    <x v="1078"/>
    <x v="693"/>
    <d v="2014-04-04T00:00:00"/>
    <x v="1"/>
    <s v="GA-14725"/>
    <s v="Guy Armstrong"/>
    <x v="0"/>
    <s v="United States"/>
    <x v="28"/>
    <x v="2"/>
    <x v="1"/>
    <s v="FUR-BO-10001337"/>
    <s v="Furniture"/>
    <x v="0"/>
    <s v="O'Sullivan Living Dimensions 2-Shelf Bookcases"/>
    <n v="205.666"/>
    <n v="2"/>
    <n v="-12.098000000000001"/>
    <x v="2"/>
    <x v="9"/>
  </r>
  <r>
    <x v="1079"/>
    <x v="158"/>
    <d v="2017-12-31T00:00:00"/>
    <x v="2"/>
    <s v="JG-15310"/>
    <s v="Jason Gross"/>
    <x v="1"/>
    <s v="United States"/>
    <x v="62"/>
    <x v="2"/>
    <x v="1"/>
    <s v="FUR-CH-10003968"/>
    <s v="Furniture"/>
    <x v="1"/>
    <s v="Novimex Turbo Task Chair"/>
    <n v="340.70400000000001"/>
    <n v="6"/>
    <n v="-34.070399999999999"/>
    <x v="0"/>
    <x v="5"/>
  </r>
  <r>
    <x v="1080"/>
    <x v="57"/>
    <d v="2016-04-11T00:00:00"/>
    <x v="2"/>
    <s v="RM-19375"/>
    <s v="Raymond Messe"/>
    <x v="0"/>
    <s v="United States"/>
    <x v="29"/>
    <x v="24"/>
    <x v="0"/>
    <s v="FUR-BO-10001608"/>
    <s v="Furniture"/>
    <x v="0"/>
    <s v="Hon Metal Bookcases, Black"/>
    <n v="354.9"/>
    <n v="5"/>
    <n v="88.724999999999994"/>
    <x v="0"/>
    <x v="6"/>
  </r>
  <r>
    <x v="1081"/>
    <x v="385"/>
    <d v="2014-03-21T00:00:00"/>
    <x v="0"/>
    <s v="EK-13795"/>
    <s v="Eileen Kiefer"/>
    <x v="2"/>
    <s v="United States"/>
    <x v="28"/>
    <x v="2"/>
    <x v="1"/>
    <s v="FUR-BO-10004218"/>
    <s v="Furniture"/>
    <x v="0"/>
    <s v="Bush Heritage Pine Collection 5-Shelf Bookcase, Albany Pine Finish, *Special Order"/>
    <n v="1198.33"/>
    <n v="10"/>
    <n v="70.489999999999995"/>
    <x v="0"/>
    <x v="9"/>
  </r>
  <r>
    <x v="1082"/>
    <x v="333"/>
    <d v="2017-04-23T00:00:00"/>
    <x v="2"/>
    <s v="CV-12805"/>
    <s v="Cynthia Voltz"/>
    <x v="1"/>
    <s v="United States"/>
    <x v="3"/>
    <x v="3"/>
    <x v="2"/>
    <s v="FUR-FU-10001876"/>
    <s v="Furniture"/>
    <x v="3"/>
    <s v="Computer Room Manger, 14&quot;"/>
    <n v="51.968000000000004"/>
    <n v="2"/>
    <n v="10.393599999999999"/>
    <x v="0"/>
    <x v="6"/>
  </r>
  <r>
    <x v="1082"/>
    <x v="333"/>
    <d v="2017-04-23T00:00:00"/>
    <x v="2"/>
    <s v="CV-12805"/>
    <s v="Cynthia Voltz"/>
    <x v="1"/>
    <s v="United States"/>
    <x v="3"/>
    <x v="3"/>
    <x v="2"/>
    <s v="FUR-FU-10004671"/>
    <s v="Furniture"/>
    <x v="3"/>
    <s v="Executive Impressions 12&quot; Wall Clock"/>
    <n v="42.408000000000001"/>
    <n v="3"/>
    <n v="9.5418000000000003"/>
    <x v="0"/>
    <x v="6"/>
  </r>
  <r>
    <x v="1083"/>
    <x v="694"/>
    <d v="2014-03-21T00:00:00"/>
    <x v="2"/>
    <s v="MC-17605"/>
    <s v="Matt Connell"/>
    <x v="1"/>
    <s v="United States"/>
    <x v="49"/>
    <x v="1"/>
    <x v="0"/>
    <s v="FUR-FU-10003981"/>
    <s v="Furniture"/>
    <x v="3"/>
    <s v="Eldon Wave Desk Accessories"/>
    <n v="4.992"/>
    <n v="3"/>
    <n v="1.3728"/>
    <x v="3"/>
    <x v="9"/>
  </r>
  <r>
    <x v="1083"/>
    <x v="694"/>
    <d v="2014-03-21T00:00:00"/>
    <x v="2"/>
    <s v="MC-17605"/>
    <s v="Matt Connell"/>
    <x v="1"/>
    <s v="United States"/>
    <x v="49"/>
    <x v="1"/>
    <x v="0"/>
    <s v="FUR-FU-10002508"/>
    <s v="Furniture"/>
    <x v="3"/>
    <s v="Document Clip Frames"/>
    <n v="20.015999999999998"/>
    <n v="3"/>
    <n v="5.5044000000000004"/>
    <x v="3"/>
    <x v="9"/>
  </r>
  <r>
    <x v="1084"/>
    <x v="231"/>
    <d v="2015-09-26T00:00:00"/>
    <x v="1"/>
    <s v="GB-14575"/>
    <s v="Giulietta Baptist"/>
    <x v="0"/>
    <s v="United States"/>
    <x v="11"/>
    <x v="10"/>
    <x v="0"/>
    <s v="FUR-CH-10000309"/>
    <s v="Furniture"/>
    <x v="1"/>
    <s v="Global Comet Stacking Arm Chair"/>
    <n v="1690.04"/>
    <n v="4"/>
    <n v="422.51"/>
    <x v="2"/>
    <x v="4"/>
  </r>
  <r>
    <x v="1085"/>
    <x v="106"/>
    <d v="2016-12-13T00:00:00"/>
    <x v="2"/>
    <s v="DB-13270"/>
    <s v="Deborah Brumfield"/>
    <x v="2"/>
    <s v="United States"/>
    <x v="295"/>
    <x v="36"/>
    <x v="1"/>
    <s v="FUR-CH-10004218"/>
    <s v="Furniture"/>
    <x v="1"/>
    <s v="Global Fabric Manager's Chair, Dark Gray"/>
    <n v="403.92"/>
    <n v="5"/>
    <n v="25.245000000000001"/>
    <x v="3"/>
    <x v="5"/>
  </r>
  <r>
    <x v="1086"/>
    <x v="695"/>
    <d v="2016-12-28T00:00:00"/>
    <x v="1"/>
    <s v="JM-15535"/>
    <s v="Jessica Myrick"/>
    <x v="0"/>
    <s v="United States"/>
    <x v="13"/>
    <x v="7"/>
    <x v="2"/>
    <s v="FUR-FU-10003192"/>
    <s v="Furniture"/>
    <x v="3"/>
    <s v="Luxo Adjustable Task Clamp Lamp"/>
    <n v="799.56"/>
    <n v="9"/>
    <n v="207.88560000000001"/>
    <x v="4"/>
    <x v="5"/>
  </r>
  <r>
    <x v="1087"/>
    <x v="696"/>
    <d v="2016-12-23T00:00:00"/>
    <x v="1"/>
    <s v="PK-19075"/>
    <s v="Pete Kriz"/>
    <x v="0"/>
    <s v="United States"/>
    <x v="278"/>
    <x v="2"/>
    <x v="1"/>
    <s v="FUR-CH-10001708"/>
    <s v="Furniture"/>
    <x v="1"/>
    <s v="Office Star - Contemporary Swivel Chair with Padded Adjustable Arms and Flex Back"/>
    <n v="563.91999999999996"/>
    <n v="5"/>
    <n v="7.0490000000000004"/>
    <x v="1"/>
    <x v="5"/>
  </r>
  <r>
    <x v="1088"/>
    <x v="451"/>
    <d v="2017-12-03T00:00:00"/>
    <x v="2"/>
    <s v="MG-17650"/>
    <s v="Matthew Grinstein"/>
    <x v="2"/>
    <s v="United States"/>
    <x v="149"/>
    <x v="15"/>
    <x v="2"/>
    <s v="FUR-FU-10002885"/>
    <s v="Furniture"/>
    <x v="3"/>
    <s v="Magna Visual Magnetic Picture Hangers"/>
    <n v="7.7119999999999997"/>
    <n v="2"/>
    <n v="1.7352000000000001"/>
    <x v="3"/>
    <x v="5"/>
  </r>
  <r>
    <x v="1089"/>
    <x v="697"/>
    <d v="2016-10-24T00:00:00"/>
    <x v="0"/>
    <s v="CM-12445"/>
    <s v="Chuck Magee"/>
    <x v="0"/>
    <s v="United States"/>
    <x v="6"/>
    <x v="5"/>
    <x v="3"/>
    <s v="FUR-CH-10002372"/>
    <s v="Furniture"/>
    <x v="1"/>
    <s v="Office Star - Ergonomically Designed Knee Chair"/>
    <n v="56.686"/>
    <n v="1"/>
    <n v="-14.5764"/>
    <x v="4"/>
    <x v="1"/>
  </r>
  <r>
    <x v="1090"/>
    <x v="100"/>
    <d v="2017-08-25T00:00:00"/>
    <x v="1"/>
    <s v="YS-21880"/>
    <s v="Yana Sorensen"/>
    <x v="1"/>
    <s v="United States"/>
    <x v="15"/>
    <x v="13"/>
    <x v="1"/>
    <s v="FUR-FU-10001475"/>
    <s v="Furniture"/>
    <x v="3"/>
    <s v="Contract Clock, 14&quot;, Brown"/>
    <n v="65.94"/>
    <n v="3"/>
    <n v="22.419599999999999"/>
    <x v="1"/>
    <x v="10"/>
  </r>
  <r>
    <x v="1091"/>
    <x v="44"/>
    <d v="2015-12-03T00:00:00"/>
    <x v="1"/>
    <s v="MC-17425"/>
    <s v="Mark Cousins"/>
    <x v="1"/>
    <s v="United States"/>
    <x v="13"/>
    <x v="7"/>
    <x v="2"/>
    <s v="FUR-FU-10000087"/>
    <s v="Furniture"/>
    <x v="3"/>
    <s v="Executive Impressions 14&quot; Two-Color Numerals Wall Clock"/>
    <n v="68.16"/>
    <n v="3"/>
    <n v="27.945599999999999"/>
    <x v="2"/>
    <x v="0"/>
  </r>
  <r>
    <x v="1092"/>
    <x v="340"/>
    <d v="2017-12-27T00:00:00"/>
    <x v="1"/>
    <s v="DK-12985"/>
    <s v="Darren Koutras"/>
    <x v="0"/>
    <s v="United States"/>
    <x v="296"/>
    <x v="9"/>
    <x v="0"/>
    <s v="FUR-FU-10000087"/>
    <s v="Furniture"/>
    <x v="3"/>
    <s v="Executive Impressions 14&quot; Two-Color Numerals Wall Clock"/>
    <n v="72.703999999999994"/>
    <n v="4"/>
    <n v="19.084800000000001"/>
    <x v="4"/>
    <x v="5"/>
  </r>
  <r>
    <x v="1093"/>
    <x v="698"/>
    <d v="2015-10-09T00:00:00"/>
    <x v="1"/>
    <s v="JF-15490"/>
    <s v="Jeremy Farry"/>
    <x v="0"/>
    <s v="United States"/>
    <x v="295"/>
    <x v="36"/>
    <x v="1"/>
    <s v="FUR-BO-10003660"/>
    <s v="Furniture"/>
    <x v="0"/>
    <s v="Bush Cubix Collection Bookcases, Fully Assembled"/>
    <n v="66.293999999999997"/>
    <n v="1"/>
    <n v="-103.86060000000001"/>
    <x v="4"/>
    <x v="1"/>
  </r>
  <r>
    <x v="1093"/>
    <x v="698"/>
    <d v="2015-10-09T00:00:00"/>
    <x v="1"/>
    <s v="JF-15490"/>
    <s v="Jeremy Farry"/>
    <x v="0"/>
    <s v="United States"/>
    <x v="295"/>
    <x v="36"/>
    <x v="1"/>
    <s v="FUR-CH-10000422"/>
    <s v="Furniture"/>
    <x v="1"/>
    <s v="Global Highback Leather Tilter in Burgundy"/>
    <n v="291.16800000000001"/>
    <n v="4"/>
    <n v="-14.558400000000001"/>
    <x v="4"/>
    <x v="1"/>
  </r>
  <r>
    <x v="1094"/>
    <x v="91"/>
    <d v="2017-09-11T00:00:00"/>
    <x v="3"/>
    <s v="JF-15415"/>
    <s v="Jennifer Ferguson"/>
    <x v="0"/>
    <s v="United States"/>
    <x v="15"/>
    <x v="13"/>
    <x v="1"/>
    <s v="FUR-CH-10003199"/>
    <s v="Furniture"/>
    <x v="1"/>
    <s v="Office Star - Contemporary Task Swivel Chair"/>
    <n v="177.56800000000001"/>
    <n v="2"/>
    <n v="8.8783999999999992"/>
    <x v="7"/>
    <x v="4"/>
  </r>
  <r>
    <x v="1095"/>
    <x v="132"/>
    <d v="2015-12-16T00:00:00"/>
    <x v="1"/>
    <s v="HA-14905"/>
    <s v="Helen Abelman"/>
    <x v="0"/>
    <s v="United States"/>
    <x v="124"/>
    <x v="2"/>
    <x v="1"/>
    <s v="FUR-FU-10004597"/>
    <s v="Furniture"/>
    <x v="3"/>
    <s v="Eldon Cleatmat Chair Mats for Medium Pile Carpets"/>
    <n v="166.5"/>
    <n v="3"/>
    <n v="21.645"/>
    <x v="4"/>
    <x v="5"/>
  </r>
  <r>
    <x v="1096"/>
    <x v="15"/>
    <d v="2017-05-31T00:00:00"/>
    <x v="0"/>
    <s v="LO-17170"/>
    <s v="Lori Olson"/>
    <x v="1"/>
    <s v="United States"/>
    <x v="41"/>
    <x v="28"/>
    <x v="2"/>
    <s v="FUR-FU-10001185"/>
    <s v="Furniture"/>
    <x v="3"/>
    <s v="Advantus Employee of the Month Certificate Frame, 11 x 13-1/2"/>
    <n v="247.44"/>
    <n v="8"/>
    <n v="101.4504"/>
    <x v="0"/>
    <x v="7"/>
  </r>
  <r>
    <x v="1097"/>
    <x v="141"/>
    <d v="2015-11-25T00:00:00"/>
    <x v="1"/>
    <s v="KB-16405"/>
    <s v="Katrina Bavinger"/>
    <x v="2"/>
    <s v="United States"/>
    <x v="15"/>
    <x v="13"/>
    <x v="1"/>
    <s v="FUR-FU-10002364"/>
    <s v="Furniture"/>
    <x v="3"/>
    <s v="Eldon Expressions Wood Desk Accessories, Oak"/>
    <n v="22.14"/>
    <n v="3"/>
    <n v="6.4206000000000003"/>
    <x v="2"/>
    <x v="0"/>
  </r>
  <r>
    <x v="1098"/>
    <x v="464"/>
    <d v="2017-06-04T00:00:00"/>
    <x v="1"/>
    <s v="ML-17410"/>
    <s v="Maris LaWare"/>
    <x v="0"/>
    <s v="United States"/>
    <x v="29"/>
    <x v="6"/>
    <x v="3"/>
    <s v="FUR-FU-10003981"/>
    <s v="Furniture"/>
    <x v="3"/>
    <s v="Eldon Wave Desk Accessories"/>
    <n v="6.24"/>
    <n v="3"/>
    <n v="2.6208"/>
    <x v="6"/>
    <x v="7"/>
  </r>
  <r>
    <x v="1099"/>
    <x v="699"/>
    <d v="2015-09-14T00:00:00"/>
    <x v="1"/>
    <s v="VW-21775"/>
    <s v="Victoria Wilson"/>
    <x v="1"/>
    <s v="United States"/>
    <x v="132"/>
    <x v="33"/>
    <x v="0"/>
    <s v="FUR-FU-10001731"/>
    <s v="Furniture"/>
    <x v="3"/>
    <s v="Acrylic Self-Standing Desk Frames"/>
    <n v="21.36"/>
    <n v="8"/>
    <n v="8.1167999999999996"/>
    <x v="6"/>
    <x v="4"/>
  </r>
  <r>
    <x v="1100"/>
    <x v="308"/>
    <d v="2017-12-06T00:00:00"/>
    <x v="1"/>
    <s v="BB-11545"/>
    <s v="Brenda Bowman"/>
    <x v="1"/>
    <s v="United States"/>
    <x v="121"/>
    <x v="2"/>
    <x v="1"/>
    <s v="FUR-CH-10004983"/>
    <s v="Furniture"/>
    <x v="1"/>
    <s v="Office Star - Mid Back Dual function Ergonomic High Back Chair with 2-Way Adjustable Arms"/>
    <n v="1159.056"/>
    <n v="9"/>
    <n v="43.464599999999997"/>
    <x v="4"/>
    <x v="5"/>
  </r>
  <r>
    <x v="1101"/>
    <x v="700"/>
    <d v="2016-07-22T00:00:00"/>
    <x v="0"/>
    <s v="DK-13375"/>
    <s v="Dennis Kane"/>
    <x v="0"/>
    <s v="United States"/>
    <x v="15"/>
    <x v="13"/>
    <x v="1"/>
    <s v="FUR-FU-10001847"/>
    <s v="Furniture"/>
    <x v="3"/>
    <s v="Eldon Image Series Black Desk Accessories"/>
    <n v="12.42"/>
    <n v="3"/>
    <n v="4.4711999999999996"/>
    <x v="2"/>
    <x v="3"/>
  </r>
  <r>
    <x v="1101"/>
    <x v="700"/>
    <d v="2016-07-22T00:00:00"/>
    <x v="0"/>
    <s v="DK-13375"/>
    <s v="Dennis Kane"/>
    <x v="0"/>
    <s v="United States"/>
    <x v="15"/>
    <x v="13"/>
    <x v="1"/>
    <s v="FUR-FU-10004164"/>
    <s v="Furniture"/>
    <x v="3"/>
    <s v="Eldon 300 Class Desk Accessories, Black"/>
    <n v="24.75"/>
    <n v="5"/>
    <n v="10.89"/>
    <x v="2"/>
    <x v="3"/>
  </r>
  <r>
    <x v="1102"/>
    <x v="141"/>
    <d v="2015-11-26T00:00:00"/>
    <x v="1"/>
    <s v="JK-15205"/>
    <s v="Jamie Kunitz"/>
    <x v="0"/>
    <s v="United States"/>
    <x v="149"/>
    <x v="15"/>
    <x v="2"/>
    <s v="FUR-FU-10002874"/>
    <s v="Furniture"/>
    <x v="3"/>
    <s v="Ultra Commercial Grade Dual Valve Door Closer"/>
    <n v="63.823999999999998"/>
    <n v="2"/>
    <n v="9.5736000000000008"/>
    <x v="6"/>
    <x v="0"/>
  </r>
  <r>
    <x v="1103"/>
    <x v="211"/>
    <d v="2016-09-28T00:00:00"/>
    <x v="1"/>
    <s v="EH-13765"/>
    <s v="Edward Hooks"/>
    <x v="1"/>
    <s v="United States"/>
    <x v="2"/>
    <x v="2"/>
    <x v="1"/>
    <s v="FUR-CH-10000988"/>
    <s v="Furniture"/>
    <x v="1"/>
    <s v="Hon Olson Stacker Stools"/>
    <n v="563.24"/>
    <n v="5"/>
    <n v="56.323999999999998"/>
    <x v="4"/>
    <x v="4"/>
  </r>
  <r>
    <x v="1104"/>
    <x v="59"/>
    <d v="2016-10-26T00:00:00"/>
    <x v="1"/>
    <s v="VW-21775"/>
    <s v="Victoria Wilson"/>
    <x v="1"/>
    <s v="United States"/>
    <x v="174"/>
    <x v="15"/>
    <x v="2"/>
    <s v="FUR-TA-10003238"/>
    <s v="Furniture"/>
    <x v="2"/>
    <s v="Chromcraft Bull-Nose Wood 48&quot; x 96&quot; Rectangular Conference Tables"/>
    <n v="661.17600000000004"/>
    <n v="2"/>
    <n v="-231.41159999999999"/>
    <x v="2"/>
    <x v="1"/>
  </r>
  <r>
    <x v="1105"/>
    <x v="591"/>
    <d v="2014-07-12T00:00:00"/>
    <x v="1"/>
    <s v="EB-13705"/>
    <s v="Ed Braxton"/>
    <x v="1"/>
    <s v="United States"/>
    <x v="28"/>
    <x v="2"/>
    <x v="1"/>
    <s v="FUR-TA-10003715"/>
    <s v="Furniture"/>
    <x v="2"/>
    <s v="Hon 2111 Invitation Series Corner Table"/>
    <n v="502.488"/>
    <n v="3"/>
    <n v="-87.935400000000001"/>
    <x v="4"/>
    <x v="3"/>
  </r>
  <r>
    <x v="1106"/>
    <x v="310"/>
    <d v="2015-03-18T00:00:00"/>
    <x v="0"/>
    <s v="NF-18595"/>
    <s v="Nicole Fjeld"/>
    <x v="2"/>
    <s v="United States"/>
    <x v="297"/>
    <x v="2"/>
    <x v="1"/>
    <s v="FUR-CH-10004063"/>
    <s v="Furniture"/>
    <x v="1"/>
    <s v="Global Deluxe High-Back Manager's Chair"/>
    <n v="915.13599999999997"/>
    <n v="4"/>
    <n v="102.9528"/>
    <x v="2"/>
    <x v="9"/>
  </r>
  <r>
    <x v="1106"/>
    <x v="310"/>
    <d v="2015-03-18T00:00:00"/>
    <x v="0"/>
    <s v="NF-18595"/>
    <s v="Nicole Fjeld"/>
    <x v="2"/>
    <s v="United States"/>
    <x v="297"/>
    <x v="2"/>
    <x v="1"/>
    <s v="FUR-FU-10001979"/>
    <s v="Furniture"/>
    <x v="3"/>
    <s v="Dana Halogen Swing-Arm Architect Lamp"/>
    <n v="327.76"/>
    <n v="8"/>
    <n v="91.772800000000004"/>
    <x v="2"/>
    <x v="9"/>
  </r>
  <r>
    <x v="1107"/>
    <x v="308"/>
    <d v="2017-12-05T00:00:00"/>
    <x v="2"/>
    <s v="ME-17725"/>
    <s v="Max Engle"/>
    <x v="0"/>
    <s v="United States"/>
    <x v="279"/>
    <x v="25"/>
    <x v="0"/>
    <s v="FUR-CH-10001854"/>
    <s v="Furniture"/>
    <x v="1"/>
    <s v="Office Star - Professional Matrix Back Chair with 2-to-1 Synchro Tilt and Mesh Fabric Seat"/>
    <n v="701.96"/>
    <n v="2"/>
    <n v="168.47040000000001"/>
    <x v="0"/>
    <x v="5"/>
  </r>
  <r>
    <x v="1108"/>
    <x v="147"/>
    <d v="2017-12-03T00:00:00"/>
    <x v="2"/>
    <s v="MZ-17335"/>
    <s v="Maria Zettner"/>
    <x v="2"/>
    <s v="United States"/>
    <x v="28"/>
    <x v="2"/>
    <x v="1"/>
    <s v="FUR-FU-10003489"/>
    <s v="Furniture"/>
    <x v="3"/>
    <s v="Contemporary Borderless Frame"/>
    <n v="25.83"/>
    <n v="3"/>
    <n v="9.5571000000000002"/>
    <x v="0"/>
    <x v="0"/>
  </r>
  <r>
    <x v="1109"/>
    <x v="114"/>
    <d v="2016-11-06T00:00:00"/>
    <x v="0"/>
    <s v="TP-21565"/>
    <s v="Tracy Poddar"/>
    <x v="1"/>
    <s v="United States"/>
    <x v="298"/>
    <x v="36"/>
    <x v="1"/>
    <s v="FUR-CH-10003298"/>
    <s v="Furniture"/>
    <x v="1"/>
    <s v="Office Star - Contemporary Task Swivel chair with Loop Arms, Charcoal"/>
    <n v="104.78400000000001"/>
    <n v="1"/>
    <n v="-14.4078"/>
    <x v="3"/>
    <x v="0"/>
  </r>
  <r>
    <x v="1109"/>
    <x v="114"/>
    <d v="2016-11-06T00:00:00"/>
    <x v="0"/>
    <s v="TP-21565"/>
    <s v="Tracy Poddar"/>
    <x v="1"/>
    <s v="United States"/>
    <x v="298"/>
    <x v="36"/>
    <x v="1"/>
    <s v="FUR-CH-10000229"/>
    <s v="Furniture"/>
    <x v="1"/>
    <s v="Global Enterprise Series Seating High-Back Swivel/Tilt Chairs"/>
    <n v="650.35199999999998"/>
    <n v="3"/>
    <n v="-97.552800000000005"/>
    <x v="3"/>
    <x v="0"/>
  </r>
  <r>
    <x v="1110"/>
    <x v="701"/>
    <d v="2014-09-16T00:00:00"/>
    <x v="1"/>
    <s v="LW-17125"/>
    <s v="Liz Willingham"/>
    <x v="0"/>
    <s v="United States"/>
    <x v="299"/>
    <x v="2"/>
    <x v="1"/>
    <s v="FUR-FU-10004006"/>
    <s v="Furniture"/>
    <x v="3"/>
    <s v="Deflect-o DuraMat Lighweight, Studded, Beveled Mat for Low Pile Carpeting"/>
    <n v="127.95"/>
    <n v="3"/>
    <n v="21.7515"/>
    <x v="2"/>
    <x v="4"/>
  </r>
  <r>
    <x v="1111"/>
    <x v="187"/>
    <d v="2014-01-26T00:00:00"/>
    <x v="1"/>
    <s v="XP-21865"/>
    <s v="Xylona Preis"/>
    <x v="0"/>
    <s v="United States"/>
    <x v="300"/>
    <x v="17"/>
    <x v="3"/>
    <s v="FUR-FU-10002918"/>
    <s v="Furniture"/>
    <x v="3"/>
    <s v="Eldon ClusterMat Chair Mat with Cordless Antistatic Protection"/>
    <n v="272.94"/>
    <n v="3"/>
    <n v="30.023399999999999"/>
    <x v="6"/>
    <x v="8"/>
  </r>
  <r>
    <x v="1111"/>
    <x v="187"/>
    <d v="2014-01-26T00:00:00"/>
    <x v="1"/>
    <s v="XP-21865"/>
    <s v="Xylona Preis"/>
    <x v="0"/>
    <s v="United States"/>
    <x v="300"/>
    <x v="17"/>
    <x v="3"/>
    <s v="FUR-FU-10002268"/>
    <s v="Furniture"/>
    <x v="3"/>
    <s v="Ultra Door Push Plate"/>
    <n v="14.73"/>
    <n v="3"/>
    <n v="4.8609"/>
    <x v="6"/>
    <x v="8"/>
  </r>
  <r>
    <x v="1112"/>
    <x v="55"/>
    <d v="2016-09-06T00:00:00"/>
    <x v="1"/>
    <s v="BG-11740"/>
    <s v="Bruce Geld"/>
    <x v="0"/>
    <s v="United States"/>
    <x v="2"/>
    <x v="2"/>
    <x v="1"/>
    <s v="FUR-FU-10000672"/>
    <s v="Furniture"/>
    <x v="3"/>
    <s v="Executive Impressions 10&quot; Spectator Wall Clock"/>
    <n v="47.04"/>
    <n v="4"/>
    <n v="15.993600000000001"/>
    <x v="1"/>
    <x v="10"/>
  </r>
  <r>
    <x v="1113"/>
    <x v="702"/>
    <d v="2017-10-09T00:00:00"/>
    <x v="1"/>
    <s v="TS-21370"/>
    <s v="Todd Sumrall"/>
    <x v="1"/>
    <s v="United States"/>
    <x v="13"/>
    <x v="7"/>
    <x v="2"/>
    <s v="FUR-CH-10002880"/>
    <s v="Furniture"/>
    <x v="1"/>
    <s v="Global High-Back Leather Tilter, Burgundy"/>
    <n v="221.38200000000001"/>
    <n v="2"/>
    <n v="2.4598"/>
    <x v="4"/>
    <x v="1"/>
  </r>
  <r>
    <x v="1114"/>
    <x v="667"/>
    <d v="2017-09-08T00:00:00"/>
    <x v="1"/>
    <s v="AG-10900"/>
    <s v="Arthur Gainer"/>
    <x v="0"/>
    <s v="United States"/>
    <x v="144"/>
    <x v="5"/>
    <x v="3"/>
    <s v="FUR-FU-10004622"/>
    <s v="Furniture"/>
    <x v="3"/>
    <s v="Eldon Advantage Foldable Chair Mats for Low Pile Carpets"/>
    <n v="108.4"/>
    <n v="5"/>
    <n v="-105.69"/>
    <x v="2"/>
    <x v="4"/>
  </r>
  <r>
    <x v="1115"/>
    <x v="162"/>
    <d v="2016-10-07T00:00:00"/>
    <x v="1"/>
    <s v="TP-21565"/>
    <s v="Tracy Poddar"/>
    <x v="1"/>
    <s v="United States"/>
    <x v="141"/>
    <x v="5"/>
    <x v="3"/>
    <s v="FUR-FU-10001756"/>
    <s v="Furniture"/>
    <x v="3"/>
    <s v="Eldon Expressions Desk Accessory, Wood Photo Frame, Mahogany"/>
    <n v="38.08"/>
    <n v="5"/>
    <n v="-29.512"/>
    <x v="4"/>
    <x v="1"/>
  </r>
  <r>
    <x v="1116"/>
    <x v="431"/>
    <d v="2016-11-21T00:00:00"/>
    <x v="3"/>
    <s v="JK-16120"/>
    <s v="Julie Kriz"/>
    <x v="2"/>
    <s v="United States"/>
    <x v="13"/>
    <x v="7"/>
    <x v="2"/>
    <s v="FUR-BO-10002598"/>
    <s v="Furniture"/>
    <x v="0"/>
    <s v="Hon Metal Bookcases, Putty"/>
    <n v="113.568"/>
    <n v="2"/>
    <n v="12.776400000000001"/>
    <x v="7"/>
    <x v="0"/>
  </r>
  <r>
    <x v="1117"/>
    <x v="433"/>
    <d v="2017-10-05T00:00:00"/>
    <x v="0"/>
    <s v="CC-12430"/>
    <s v="Chuck Clark"/>
    <x v="2"/>
    <s v="United States"/>
    <x v="13"/>
    <x v="7"/>
    <x v="2"/>
    <s v="FUR-FU-10001934"/>
    <s v="Furniture"/>
    <x v="3"/>
    <s v="Magnifier Swing Arm Lamp"/>
    <n v="83.92"/>
    <n v="4"/>
    <n v="21.819199999999999"/>
    <x v="3"/>
    <x v="1"/>
  </r>
  <r>
    <x v="1118"/>
    <x v="149"/>
    <d v="2014-05-03T00:00:00"/>
    <x v="1"/>
    <s v="LA-16780"/>
    <s v="Laura Armstrong"/>
    <x v="1"/>
    <s v="United States"/>
    <x v="10"/>
    <x v="9"/>
    <x v="0"/>
    <s v="FUR-CH-10001394"/>
    <s v="Furniture"/>
    <x v="1"/>
    <s v="Global Leather Executive Chair"/>
    <n v="561.58399999999995"/>
    <n v="2"/>
    <n v="70.197999999999993"/>
    <x v="4"/>
    <x v="6"/>
  </r>
  <r>
    <x v="1119"/>
    <x v="120"/>
    <d v="2016-12-22T00:00:00"/>
    <x v="1"/>
    <s v="BP-11230"/>
    <s v="Benjamin Patterson"/>
    <x v="0"/>
    <s v="United States"/>
    <x v="2"/>
    <x v="2"/>
    <x v="1"/>
    <s v="FUR-FU-10002364"/>
    <s v="Furniture"/>
    <x v="3"/>
    <s v="Eldon Expressions Wood Desk Accessories, Oak"/>
    <n v="14.76"/>
    <n v="2"/>
    <n v="4.2804000000000002"/>
    <x v="1"/>
    <x v="5"/>
  </r>
  <r>
    <x v="1120"/>
    <x v="477"/>
    <d v="2016-04-02T00:00:00"/>
    <x v="1"/>
    <s v="TB-21595"/>
    <s v="Troy Blackwell"/>
    <x v="0"/>
    <s v="United States"/>
    <x v="76"/>
    <x v="15"/>
    <x v="2"/>
    <s v="FUR-BO-10004015"/>
    <s v="Furniture"/>
    <x v="0"/>
    <s v="Bush Andora Bookcase, Maple/Graphite Gray Finish"/>
    <n v="299.97500000000002"/>
    <n v="5"/>
    <n v="-167.98599999999999"/>
    <x v="4"/>
    <x v="9"/>
  </r>
  <r>
    <x v="1121"/>
    <x v="469"/>
    <d v="2016-12-19T00:00:00"/>
    <x v="1"/>
    <s v="PK-19075"/>
    <s v="Pete Kriz"/>
    <x v="0"/>
    <s v="United States"/>
    <x v="13"/>
    <x v="7"/>
    <x v="2"/>
    <s v="FUR-FU-10002937"/>
    <s v="Furniture"/>
    <x v="3"/>
    <s v="GE 48&quot; Fluorescent Tube, Cool White Energy Saver, 34 Watts, 30/Box"/>
    <n v="396.92"/>
    <n v="4"/>
    <n v="198.46"/>
    <x v="2"/>
    <x v="5"/>
  </r>
  <r>
    <x v="1122"/>
    <x v="703"/>
    <d v="2017-05-31T00:00:00"/>
    <x v="2"/>
    <s v="BD-11725"/>
    <s v="Bruce Degenhardt"/>
    <x v="0"/>
    <s v="United States"/>
    <x v="120"/>
    <x v="35"/>
    <x v="0"/>
    <s v="FUR-BO-10000330"/>
    <s v="Furniture"/>
    <x v="0"/>
    <s v="Sauder Camden County Barrister Bookcase, Planked Cherry Finish"/>
    <n v="241.96"/>
    <n v="2"/>
    <n v="33.874400000000001"/>
    <x v="5"/>
    <x v="7"/>
  </r>
  <r>
    <x v="1122"/>
    <x v="703"/>
    <d v="2017-05-31T00:00:00"/>
    <x v="2"/>
    <s v="BD-11725"/>
    <s v="Bruce Degenhardt"/>
    <x v="0"/>
    <s v="United States"/>
    <x v="120"/>
    <x v="35"/>
    <x v="0"/>
    <s v="FUR-FU-10001731"/>
    <s v="Furniture"/>
    <x v="3"/>
    <s v="Acrylic Self-Standing Desk Frames"/>
    <n v="8.01"/>
    <n v="3"/>
    <n v="3.0438000000000001"/>
    <x v="5"/>
    <x v="7"/>
  </r>
  <r>
    <x v="1123"/>
    <x v="704"/>
    <d v="2017-09-02T00:00:00"/>
    <x v="0"/>
    <s v="BW-11110"/>
    <s v="Bart Watters"/>
    <x v="1"/>
    <s v="United States"/>
    <x v="129"/>
    <x v="13"/>
    <x v="1"/>
    <s v="FUR-CH-10002331"/>
    <s v="Furniture"/>
    <x v="1"/>
    <s v="Hon 4700 Series Mobuis Mid-Back Task Chairs with Adjustable Arms"/>
    <n v="569.56799999999998"/>
    <n v="2"/>
    <n v="7.1196000000000002"/>
    <x v="3"/>
    <x v="10"/>
  </r>
  <r>
    <x v="1124"/>
    <x v="138"/>
    <d v="2017-05-15T00:00:00"/>
    <x v="2"/>
    <s v="GT-14710"/>
    <s v="Greg Tran"/>
    <x v="0"/>
    <s v="United States"/>
    <x v="6"/>
    <x v="5"/>
    <x v="3"/>
    <s v="FUR-CH-10003981"/>
    <s v="Furniture"/>
    <x v="1"/>
    <s v="Global Commerce Series Low-Back Swivel/Tilt Chairs"/>
    <n v="899.43"/>
    <n v="5"/>
    <n v="-12.849"/>
    <x v="5"/>
    <x v="7"/>
  </r>
  <r>
    <x v="1125"/>
    <x v="359"/>
    <d v="2016-11-05T00:00:00"/>
    <x v="1"/>
    <s v="HW-14935"/>
    <s v="Helen Wasserman"/>
    <x v="1"/>
    <s v="United States"/>
    <x v="169"/>
    <x v="37"/>
    <x v="3"/>
    <s v="FUR-CH-10002084"/>
    <s v="Furniture"/>
    <x v="1"/>
    <s v="Hon Mobius Operator's Chair"/>
    <n v="368.97"/>
    <n v="3"/>
    <n v="81.173400000000001"/>
    <x v="2"/>
    <x v="1"/>
  </r>
  <r>
    <x v="1126"/>
    <x v="634"/>
    <d v="2015-10-27T00:00:00"/>
    <x v="2"/>
    <s v="RD-19660"/>
    <s v="Robert Dilbeck"/>
    <x v="2"/>
    <s v="United States"/>
    <x v="121"/>
    <x v="2"/>
    <x v="1"/>
    <s v="FUR-CH-10003956"/>
    <s v="Furniture"/>
    <x v="1"/>
    <s v="Novimex High-Tech Fabric Mesh Task Chair"/>
    <n v="454.27199999999999"/>
    <n v="8"/>
    <n v="-73.819199999999995"/>
    <x v="0"/>
    <x v="1"/>
  </r>
  <r>
    <x v="1127"/>
    <x v="705"/>
    <d v="2014-11-07T00:00:00"/>
    <x v="1"/>
    <s v="SH-20395"/>
    <s v="Shahid Hopkins"/>
    <x v="0"/>
    <s v="United States"/>
    <x v="51"/>
    <x v="30"/>
    <x v="0"/>
    <s v="FUR-TA-10001768"/>
    <s v="Furniture"/>
    <x v="2"/>
    <s v="Hon Racetrack Conference Tables"/>
    <n v="945.03599999999994"/>
    <n v="6"/>
    <n v="-299.26139999999998"/>
    <x v="4"/>
    <x v="0"/>
  </r>
  <r>
    <x v="1127"/>
    <x v="705"/>
    <d v="2014-11-07T00:00:00"/>
    <x v="1"/>
    <s v="SH-20395"/>
    <s v="Shahid Hopkins"/>
    <x v="0"/>
    <s v="United States"/>
    <x v="51"/>
    <x v="30"/>
    <x v="0"/>
    <s v="FUR-FU-10001468"/>
    <s v="Furniture"/>
    <x v="3"/>
    <s v="Tenex Antistatic Computer Chair Mats"/>
    <n v="410.35199999999998"/>
    <n v="3"/>
    <n v="-51.293999999999997"/>
    <x v="4"/>
    <x v="0"/>
  </r>
  <r>
    <x v="1128"/>
    <x v="706"/>
    <d v="2017-05-29T00:00:00"/>
    <x v="2"/>
    <s v="JG-15160"/>
    <s v="James Galang"/>
    <x v="0"/>
    <s v="United States"/>
    <x v="280"/>
    <x v="42"/>
    <x v="1"/>
    <s v="FUR-FU-10004963"/>
    <s v="Furniture"/>
    <x v="3"/>
    <s v="Eldon 400 Class Desk Accessories, Black Carbon"/>
    <n v="35"/>
    <n v="4"/>
    <n v="14.7"/>
    <x v="3"/>
    <x v="7"/>
  </r>
  <r>
    <x v="1129"/>
    <x v="417"/>
    <d v="2017-12-19T00:00:00"/>
    <x v="1"/>
    <s v="LC-16885"/>
    <s v="Lena Creighton"/>
    <x v="0"/>
    <s v="United States"/>
    <x v="215"/>
    <x v="5"/>
    <x v="3"/>
    <s v="FUR-TA-10000577"/>
    <s v="Furniture"/>
    <x v="2"/>
    <s v="Bretford CR4500 Series Slim Rectangular Table"/>
    <n v="974.98800000000006"/>
    <n v="4"/>
    <n v="-97.498800000000003"/>
    <x v="2"/>
    <x v="5"/>
  </r>
  <r>
    <x v="1130"/>
    <x v="707"/>
    <d v="2014-10-06T00:00:00"/>
    <x v="2"/>
    <s v="CC-12220"/>
    <s v="Chris Cortes"/>
    <x v="0"/>
    <s v="United States"/>
    <x v="13"/>
    <x v="7"/>
    <x v="2"/>
    <s v="FUR-CH-10003298"/>
    <s v="Furniture"/>
    <x v="1"/>
    <s v="Office Star - Contemporary Task Swivel chair with Loop Arms, Charcoal"/>
    <n v="589.41"/>
    <n v="5"/>
    <n v="-6.5490000000000004"/>
    <x v="3"/>
    <x v="1"/>
  </r>
  <r>
    <x v="1131"/>
    <x v="25"/>
    <d v="2016-10-20T00:00:00"/>
    <x v="1"/>
    <s v="BW-11110"/>
    <s v="Bart Watters"/>
    <x v="1"/>
    <s v="United States"/>
    <x v="13"/>
    <x v="7"/>
    <x v="2"/>
    <s v="FUR-FU-10003535"/>
    <s v="Furniture"/>
    <x v="3"/>
    <s v="Howard Miller Distant Time Traveler Alarm Clock"/>
    <n v="82.26"/>
    <n v="3"/>
    <n v="33.726599999999998"/>
    <x v="1"/>
    <x v="1"/>
  </r>
  <r>
    <x v="1132"/>
    <x v="708"/>
    <d v="2017-03-06T00:00:00"/>
    <x v="0"/>
    <s v="TT-21460"/>
    <s v="Tonja Turnell"/>
    <x v="2"/>
    <s v="United States"/>
    <x v="6"/>
    <x v="5"/>
    <x v="3"/>
    <s v="FUR-FU-10004848"/>
    <s v="Furniture"/>
    <x v="3"/>
    <s v="Howard Miller 13-3/4&quot; Diameter Brushed Chrome Round Wall Clock"/>
    <n v="103.5"/>
    <n v="5"/>
    <n v="-77.625"/>
    <x v="3"/>
    <x v="9"/>
  </r>
  <r>
    <x v="1133"/>
    <x v="709"/>
    <d v="2017-08-03T00:00:00"/>
    <x v="2"/>
    <s v="EC-14050"/>
    <s v="Erin Creighton"/>
    <x v="0"/>
    <s v="United States"/>
    <x v="28"/>
    <x v="2"/>
    <x v="1"/>
    <s v="FUR-FU-10003142"/>
    <s v="Furniture"/>
    <x v="3"/>
    <s v="Master Big Foot Doorstop, Beige"/>
    <n v="36.96"/>
    <n v="7"/>
    <n v="11.457599999999999"/>
    <x v="0"/>
    <x v="3"/>
  </r>
  <r>
    <x v="1134"/>
    <x v="138"/>
    <d v="2017-05-17T00:00:00"/>
    <x v="2"/>
    <s v="AJ-10780"/>
    <s v="Anthony Jacobs"/>
    <x v="1"/>
    <s v="United States"/>
    <x v="237"/>
    <x v="32"/>
    <x v="2"/>
    <s v="FUR-CH-10003298"/>
    <s v="Furniture"/>
    <x v="1"/>
    <s v="Office Star - Contemporary Task Swivel chair with Loop Arms, Charcoal"/>
    <n v="261.95999999999998"/>
    <n v="2"/>
    <n v="23.5764"/>
    <x v="0"/>
    <x v="7"/>
  </r>
  <r>
    <x v="1135"/>
    <x v="710"/>
    <d v="2016-09-28T00:00:00"/>
    <x v="1"/>
    <s v="AS-10630"/>
    <s v="Ann Steele"/>
    <x v="2"/>
    <s v="United States"/>
    <x v="74"/>
    <x v="0"/>
    <x v="0"/>
    <s v="FUR-FU-10004586"/>
    <s v="Furniture"/>
    <x v="3"/>
    <s v="G.E. Longer-Life Indoor Recessed Floodlight Bulbs"/>
    <n v="13.28"/>
    <n v="2"/>
    <n v="6.3743999999999996"/>
    <x v="6"/>
    <x v="4"/>
  </r>
  <r>
    <x v="1136"/>
    <x v="674"/>
    <d v="2016-12-08T00:00:00"/>
    <x v="1"/>
    <s v="DB-13270"/>
    <s v="Deborah Brumfield"/>
    <x v="2"/>
    <s v="United States"/>
    <x v="134"/>
    <x v="38"/>
    <x v="2"/>
    <s v="FUR-FU-10004864"/>
    <s v="Furniture"/>
    <x v="3"/>
    <s v="Eldon 500 Class Desk Accessories"/>
    <n v="72.42"/>
    <n v="6"/>
    <n v="23.898599999999998"/>
    <x v="6"/>
    <x v="5"/>
  </r>
  <r>
    <x v="1137"/>
    <x v="711"/>
    <d v="2014-01-15T00:00:00"/>
    <x v="2"/>
    <s v="BS-11590"/>
    <s v="Brendan Sweed"/>
    <x v="1"/>
    <s v="United States"/>
    <x v="3"/>
    <x v="3"/>
    <x v="2"/>
    <s v="FUR-BO-10003433"/>
    <s v="Furniture"/>
    <x v="0"/>
    <s v="Sauder Cornerstone Collection Library"/>
    <n v="61.96"/>
    <n v="4"/>
    <n v="-53.285600000000002"/>
    <x v="5"/>
    <x v="8"/>
  </r>
  <r>
    <x v="1138"/>
    <x v="35"/>
    <d v="2017-06-10T00:00:00"/>
    <x v="1"/>
    <s v="NR-18550"/>
    <s v="Nick Radford"/>
    <x v="0"/>
    <s v="United States"/>
    <x v="36"/>
    <x v="1"/>
    <x v="0"/>
    <s v="FUR-BO-10002824"/>
    <s v="Furniture"/>
    <x v="0"/>
    <s v="Bush Mission Pointe Library"/>
    <n v="241.56800000000001"/>
    <n v="2"/>
    <n v="0"/>
    <x v="1"/>
    <x v="2"/>
  </r>
  <r>
    <x v="1139"/>
    <x v="35"/>
    <d v="2017-06-09T00:00:00"/>
    <x v="1"/>
    <s v="KN-16390"/>
    <s v="Katherine Nockton"/>
    <x v="1"/>
    <s v="United States"/>
    <x v="13"/>
    <x v="7"/>
    <x v="2"/>
    <s v="FUR-TA-10001932"/>
    <s v="Furniture"/>
    <x v="2"/>
    <s v="Chromcraft 48&quot; x 96&quot; Racetrack Double Pedestal Table"/>
    <n v="384.76799999999997"/>
    <n v="2"/>
    <n v="-115.43040000000001"/>
    <x v="6"/>
    <x v="2"/>
  </r>
  <r>
    <x v="1140"/>
    <x v="712"/>
    <d v="2014-09-19T00:00:00"/>
    <x v="1"/>
    <s v="MF-18250"/>
    <s v="Monica Federle"/>
    <x v="1"/>
    <s v="United States"/>
    <x v="3"/>
    <x v="3"/>
    <x v="2"/>
    <s v="FUR-FU-10000222"/>
    <s v="Furniture"/>
    <x v="3"/>
    <s v="Seth Thomas 16&quot; Steel Case Clock"/>
    <n v="103.93600000000001"/>
    <n v="4"/>
    <n v="16.889600000000002"/>
    <x v="4"/>
    <x v="4"/>
  </r>
  <r>
    <x v="1141"/>
    <x v="47"/>
    <d v="2016-11-25T00:00:00"/>
    <x v="1"/>
    <s v="FA-14230"/>
    <s v="Frank Atkinson"/>
    <x v="1"/>
    <s v="United States"/>
    <x v="301"/>
    <x v="1"/>
    <x v="0"/>
    <s v="FUR-BO-10004695"/>
    <s v="Furniture"/>
    <x v="0"/>
    <s v="O'Sullivan 2-Door Barrister Bookcase in Odessa Pine"/>
    <n v="289.56799999999998"/>
    <n v="2"/>
    <n v="10.8588"/>
    <x v="2"/>
    <x v="0"/>
  </r>
  <r>
    <x v="1142"/>
    <x v="713"/>
    <d v="2015-07-28T00:00:00"/>
    <x v="1"/>
    <s v="SS-20515"/>
    <s v="Shirley Schmidt"/>
    <x v="2"/>
    <s v="United States"/>
    <x v="74"/>
    <x v="0"/>
    <x v="0"/>
    <s v="FUR-FU-10001487"/>
    <s v="Furniture"/>
    <x v="3"/>
    <s v="Eldon Expressions Wood and Plastic Desk Accessories, Cherry Wood"/>
    <n v="20.94"/>
    <n v="3"/>
    <n v="6.0726000000000004"/>
    <x v="4"/>
    <x v="3"/>
  </r>
  <r>
    <x v="1143"/>
    <x v="714"/>
    <d v="2016-10-11T00:00:00"/>
    <x v="0"/>
    <s v="SP-20545"/>
    <s v="Sibella Parks"/>
    <x v="1"/>
    <s v="United States"/>
    <x v="3"/>
    <x v="3"/>
    <x v="2"/>
    <s v="FUR-FU-10004071"/>
    <s v="Furniture"/>
    <x v="3"/>
    <s v="Luxo Professional Magnifying Clamp-On Fluorescent Lamps"/>
    <n v="332.83199999999999"/>
    <n v="4"/>
    <n v="-24.962399999999999"/>
    <x v="3"/>
    <x v="1"/>
  </r>
  <r>
    <x v="1144"/>
    <x v="102"/>
    <d v="2017-09-19T00:00:00"/>
    <x v="1"/>
    <s v="RD-19480"/>
    <s v="Rick Duston"/>
    <x v="0"/>
    <s v="United States"/>
    <x v="28"/>
    <x v="2"/>
    <x v="1"/>
    <s v="FUR-CH-10002961"/>
    <s v="Furniture"/>
    <x v="1"/>
    <s v="Leather Task Chair, Black"/>
    <n v="218.352"/>
    <n v="3"/>
    <n v="0"/>
    <x v="4"/>
    <x v="4"/>
  </r>
  <r>
    <x v="1144"/>
    <x v="102"/>
    <d v="2017-09-19T00:00:00"/>
    <x v="1"/>
    <s v="RD-19480"/>
    <s v="Rick Duston"/>
    <x v="0"/>
    <s v="United States"/>
    <x v="28"/>
    <x v="2"/>
    <x v="1"/>
    <s v="FUR-FU-10001488"/>
    <s v="Furniture"/>
    <x v="3"/>
    <s v="Tenex 46&quot; x 60&quot; Computer Anti-Static Chairmat, Rectangular Shaped"/>
    <n v="529.9"/>
    <n v="5"/>
    <n v="105.98"/>
    <x v="4"/>
    <x v="4"/>
  </r>
  <r>
    <x v="1145"/>
    <x v="623"/>
    <d v="2017-01-18T00:00:00"/>
    <x v="0"/>
    <s v="AR-10540"/>
    <s v="Andy Reiter"/>
    <x v="0"/>
    <s v="United States"/>
    <x v="38"/>
    <x v="17"/>
    <x v="3"/>
    <s v="FUR-CH-10004626"/>
    <s v="Furniture"/>
    <x v="1"/>
    <s v="Office Star Flex Back Scooter Chair with Aluminum Finish Frame"/>
    <n v="302.67"/>
    <n v="3"/>
    <n v="72.640799999999999"/>
    <x v="3"/>
    <x v="8"/>
  </r>
  <r>
    <x v="1146"/>
    <x v="317"/>
    <d v="2014-11-22T00:00:00"/>
    <x v="1"/>
    <s v="GT-14710"/>
    <s v="Greg Tran"/>
    <x v="0"/>
    <s v="United States"/>
    <x v="252"/>
    <x v="7"/>
    <x v="2"/>
    <s v="FUR-BO-10002213"/>
    <s v="Furniture"/>
    <x v="0"/>
    <s v="DMI Eclipse Executive Suite Bookcases"/>
    <n v="4007.84"/>
    <n v="10"/>
    <n v="-50.097999999999999"/>
    <x v="2"/>
    <x v="0"/>
  </r>
  <r>
    <x v="1147"/>
    <x v="715"/>
    <d v="2014-10-23T00:00:00"/>
    <x v="2"/>
    <s v="FH-14365"/>
    <s v="Fred Hopkins"/>
    <x v="1"/>
    <s v="United States"/>
    <x v="270"/>
    <x v="9"/>
    <x v="0"/>
    <s v="FUR-TA-10003008"/>
    <s v="Furniture"/>
    <x v="2"/>
    <s v="Lesro Round Back Collection Coffee Table, End Table"/>
    <n v="328.59"/>
    <n v="3"/>
    <n v="-147.8655"/>
    <x v="0"/>
    <x v="1"/>
  </r>
  <r>
    <x v="1148"/>
    <x v="551"/>
    <d v="2015-10-30T00:00:00"/>
    <x v="1"/>
    <s v="HK-14890"/>
    <s v="Heather Kirkland"/>
    <x v="1"/>
    <s v="United States"/>
    <x v="19"/>
    <x v="14"/>
    <x v="2"/>
    <s v="FUR-CH-10002439"/>
    <s v="Furniture"/>
    <x v="1"/>
    <s v="Iceberg Nesting Folding Chair, 19w x 6d x 43h"/>
    <n v="291.10000000000002"/>
    <n v="5"/>
    <n v="75.686000000000007"/>
    <x v="2"/>
    <x v="1"/>
  </r>
  <r>
    <x v="1149"/>
    <x v="716"/>
    <d v="2017-11-19T00:00:00"/>
    <x v="2"/>
    <s v="CC-12220"/>
    <s v="Chris Cortes"/>
    <x v="0"/>
    <s v="United States"/>
    <x v="15"/>
    <x v="13"/>
    <x v="1"/>
    <s v="FUR-FU-10003394"/>
    <s v="Furniture"/>
    <x v="3"/>
    <s v="Tenex &quot;The Solids&quot; Textured Chair Mats"/>
    <n v="139.91999999999999"/>
    <n v="2"/>
    <n v="23.7864"/>
    <x v="0"/>
    <x v="0"/>
  </r>
  <r>
    <x v="1150"/>
    <x v="29"/>
    <d v="2014-03-05T00:00:00"/>
    <x v="1"/>
    <s v="VF-21715"/>
    <s v="Vicky Freymann"/>
    <x v="2"/>
    <s v="United States"/>
    <x v="302"/>
    <x v="8"/>
    <x v="3"/>
    <s v="FUR-CH-10000863"/>
    <s v="Furniture"/>
    <x v="1"/>
    <s v="Novimex Swivel Fabric Task Chair"/>
    <n v="634.11599999999999"/>
    <n v="6"/>
    <n v="-172.1172"/>
    <x v="4"/>
    <x v="9"/>
  </r>
  <r>
    <x v="1151"/>
    <x v="45"/>
    <d v="2015-08-01T00:00:00"/>
    <x v="2"/>
    <s v="GH-14410"/>
    <s v="Gary Hansen"/>
    <x v="2"/>
    <s v="United States"/>
    <x v="27"/>
    <x v="11"/>
    <x v="3"/>
    <s v="FUR-CH-10002304"/>
    <s v="Furniture"/>
    <x v="1"/>
    <s v="Global Stack Chair without Arms, Black"/>
    <n v="155.88"/>
    <n v="6"/>
    <n v="38.97"/>
    <x v="3"/>
    <x v="3"/>
  </r>
  <r>
    <x v="1152"/>
    <x v="341"/>
    <d v="2015-11-03T00:00:00"/>
    <x v="0"/>
    <s v="JH-16180"/>
    <s v="Justin Hirsh"/>
    <x v="0"/>
    <s v="United States"/>
    <x v="13"/>
    <x v="7"/>
    <x v="2"/>
    <s v="FUR-CH-10000422"/>
    <s v="Furniture"/>
    <x v="1"/>
    <s v="Global Highback Leather Tilter in Burgundy"/>
    <n v="327.56400000000002"/>
    <n v="4"/>
    <n v="21.837599999999998"/>
    <x v="3"/>
    <x v="0"/>
  </r>
  <r>
    <x v="1153"/>
    <x v="717"/>
    <d v="2015-06-10T00:00:00"/>
    <x v="1"/>
    <s v="EB-13750"/>
    <s v="Edward Becker"/>
    <x v="1"/>
    <s v="United States"/>
    <x v="252"/>
    <x v="7"/>
    <x v="2"/>
    <s v="FUR-CH-10004997"/>
    <s v="Furniture"/>
    <x v="1"/>
    <s v="Hon Every-Day Series Multi-Task Chairs"/>
    <n v="1522.6379999999999"/>
    <n v="9"/>
    <n v="169.18199999999999"/>
    <x v="2"/>
    <x v="2"/>
  </r>
  <r>
    <x v="1154"/>
    <x v="718"/>
    <d v="2014-05-12T00:00:00"/>
    <x v="1"/>
    <s v="CT-11995"/>
    <s v="Carol Triggs"/>
    <x v="0"/>
    <s v="United States"/>
    <x v="37"/>
    <x v="20"/>
    <x v="2"/>
    <s v="FUR-TA-10003469"/>
    <s v="Furniture"/>
    <x v="2"/>
    <s v="Balt Split Level Computer Training Table"/>
    <n v="194.25"/>
    <n v="2"/>
    <n v="-38.85"/>
    <x v="2"/>
    <x v="7"/>
  </r>
  <r>
    <x v="1154"/>
    <x v="718"/>
    <d v="2014-05-12T00:00:00"/>
    <x v="1"/>
    <s v="CT-11995"/>
    <s v="Carol Triggs"/>
    <x v="0"/>
    <s v="United States"/>
    <x v="37"/>
    <x v="20"/>
    <x v="2"/>
    <s v="FUR-CH-10004675"/>
    <s v="Furniture"/>
    <x v="1"/>
    <s v="Lifetime Advantage Folding Chairs, 4/Carton"/>
    <n v="872.32"/>
    <n v="4"/>
    <n v="244.24959999999999"/>
    <x v="2"/>
    <x v="7"/>
  </r>
  <r>
    <x v="1155"/>
    <x v="719"/>
    <d v="2014-04-22T00:00:00"/>
    <x v="1"/>
    <s v="KM-16720"/>
    <s v="Kunst Miller"/>
    <x v="0"/>
    <s v="United States"/>
    <x v="6"/>
    <x v="5"/>
    <x v="3"/>
    <s v="FUR-CH-10002602"/>
    <s v="Furniture"/>
    <x v="1"/>
    <s v="DMI Arturo Collection Mission-style Design Wood Chair"/>
    <n v="317.05799999999999"/>
    <n v="3"/>
    <n v="-18.117599999999999"/>
    <x v="4"/>
    <x v="6"/>
  </r>
  <r>
    <x v="1156"/>
    <x v="470"/>
    <d v="2017-03-08T00:00:00"/>
    <x v="1"/>
    <s v="EJ-13720"/>
    <s v="Ed Jacobs"/>
    <x v="0"/>
    <s v="United States"/>
    <x v="2"/>
    <x v="2"/>
    <x v="1"/>
    <s v="FUR-CH-10003968"/>
    <s v="Furniture"/>
    <x v="1"/>
    <s v="Novimex Turbo Task Chair"/>
    <n v="170.352"/>
    <n v="3"/>
    <n v="-17.0352"/>
    <x v="2"/>
    <x v="9"/>
  </r>
  <r>
    <x v="1157"/>
    <x v="148"/>
    <d v="2016-10-22T00:00:00"/>
    <x v="3"/>
    <s v="MS-17530"/>
    <s v="MaryBeth Skach"/>
    <x v="0"/>
    <s v="United States"/>
    <x v="15"/>
    <x v="13"/>
    <x v="1"/>
    <s v="FUR-FU-10003095"/>
    <s v="Furniture"/>
    <x v="3"/>
    <s v="Linden 12&quot; Wall Clock With Oak Frame"/>
    <n v="101.94"/>
    <n v="3"/>
    <n v="30.582000000000001"/>
    <x v="7"/>
    <x v="1"/>
  </r>
  <r>
    <x v="1158"/>
    <x v="720"/>
    <d v="2017-07-27T00:00:00"/>
    <x v="1"/>
    <s v="AM-10705"/>
    <s v="Anne McFarland"/>
    <x v="0"/>
    <s v="United States"/>
    <x v="279"/>
    <x v="25"/>
    <x v="0"/>
    <s v="FUR-FU-10003274"/>
    <s v="Furniture"/>
    <x v="3"/>
    <s v="Regeneration Desk Collection"/>
    <n v="8.8000000000000007"/>
    <n v="5"/>
    <n v="3.8719999999999999"/>
    <x v="6"/>
    <x v="3"/>
  </r>
  <r>
    <x v="1158"/>
    <x v="720"/>
    <d v="2017-07-27T00:00:00"/>
    <x v="1"/>
    <s v="AM-10705"/>
    <s v="Anne McFarland"/>
    <x v="0"/>
    <s v="United States"/>
    <x v="279"/>
    <x v="25"/>
    <x v="0"/>
    <s v="FUR-BO-10003441"/>
    <s v="Furniture"/>
    <x v="0"/>
    <s v="Bush Westfield Collection Bookcases, Fully Assembled"/>
    <n v="302.94"/>
    <n v="3"/>
    <n v="69.676199999999994"/>
    <x v="6"/>
    <x v="3"/>
  </r>
  <r>
    <x v="1159"/>
    <x v="116"/>
    <d v="2014-12-07T00:00:00"/>
    <x v="1"/>
    <s v="ON-18715"/>
    <s v="Odella Nelson"/>
    <x v="1"/>
    <s v="United States"/>
    <x v="218"/>
    <x v="32"/>
    <x v="2"/>
    <s v="FUR-FU-10003849"/>
    <s v="Furniture"/>
    <x v="3"/>
    <s v="DAX Metal Frame, Desktop, Stepped-Edge"/>
    <n v="60.72"/>
    <n v="3"/>
    <n v="23.680800000000001"/>
    <x v="2"/>
    <x v="5"/>
  </r>
  <r>
    <x v="1159"/>
    <x v="116"/>
    <d v="2014-12-07T00:00:00"/>
    <x v="1"/>
    <s v="ON-18715"/>
    <s v="Odella Nelson"/>
    <x v="1"/>
    <s v="United States"/>
    <x v="218"/>
    <x v="32"/>
    <x v="2"/>
    <s v="FUR-CH-10004754"/>
    <s v="Furniture"/>
    <x v="1"/>
    <s v="Global Stack Chair with Arms, Black"/>
    <n v="239.84"/>
    <n v="8"/>
    <n v="64.756799999999998"/>
    <x v="2"/>
    <x v="5"/>
  </r>
  <r>
    <x v="1160"/>
    <x v="205"/>
    <d v="2016-05-31T00:00:00"/>
    <x v="1"/>
    <s v="SV-20785"/>
    <s v="Stewart Visinsky"/>
    <x v="0"/>
    <s v="United States"/>
    <x v="72"/>
    <x v="2"/>
    <x v="1"/>
    <s v="FUR-CH-10004860"/>
    <s v="Furniture"/>
    <x v="1"/>
    <s v="Global Low Back Tilter Chair"/>
    <n v="484.70400000000001"/>
    <n v="6"/>
    <n v="-84.8232"/>
    <x v="2"/>
    <x v="7"/>
  </r>
  <r>
    <x v="1161"/>
    <x v="721"/>
    <d v="2015-04-28T00:00:00"/>
    <x v="1"/>
    <s v="JK-16090"/>
    <s v="Juliana Krohn"/>
    <x v="0"/>
    <s v="United States"/>
    <x v="74"/>
    <x v="0"/>
    <x v="0"/>
    <s v="FUR-CH-10001891"/>
    <s v="Furniture"/>
    <x v="1"/>
    <s v="Global Deluxe Office Fabric Chairs"/>
    <n v="191.96"/>
    <n v="2"/>
    <n v="51.8292"/>
    <x v="1"/>
    <x v="6"/>
  </r>
  <r>
    <x v="1161"/>
    <x v="721"/>
    <d v="2015-04-28T00:00:00"/>
    <x v="1"/>
    <s v="JK-16090"/>
    <s v="Juliana Krohn"/>
    <x v="0"/>
    <s v="United States"/>
    <x v="74"/>
    <x v="0"/>
    <x v="0"/>
    <s v="FUR-FU-10003394"/>
    <s v="Furniture"/>
    <x v="3"/>
    <s v="Tenex &quot;The Solids&quot; Textured Chair Mats"/>
    <n v="209.88"/>
    <n v="3"/>
    <n v="35.679600000000001"/>
    <x v="1"/>
    <x v="6"/>
  </r>
  <r>
    <x v="1162"/>
    <x v="9"/>
    <d v="2016-06-19T00:00:00"/>
    <x v="2"/>
    <s v="MV-18190"/>
    <s v="Mike Vittorini"/>
    <x v="0"/>
    <s v="United States"/>
    <x v="2"/>
    <x v="2"/>
    <x v="1"/>
    <s v="FUR-BO-10004218"/>
    <s v="Furniture"/>
    <x v="0"/>
    <s v="Bush Heritage Pine Collection 5-Shelf Bookcase, Albany Pine Finish, *Special Order"/>
    <n v="239.666"/>
    <n v="2"/>
    <n v="14.098000000000001"/>
    <x v="3"/>
    <x v="2"/>
  </r>
  <r>
    <x v="1163"/>
    <x v="722"/>
    <d v="2017-01-18T00:00:00"/>
    <x v="0"/>
    <s v="CP-12085"/>
    <s v="Cathy Prescott"/>
    <x v="1"/>
    <s v="United States"/>
    <x v="76"/>
    <x v="23"/>
    <x v="3"/>
    <s v="FUR-BO-10001608"/>
    <s v="Furniture"/>
    <x v="0"/>
    <s v="Hon Metal Bookcases, Black"/>
    <n v="212.94"/>
    <n v="3"/>
    <n v="53.234999999999999"/>
    <x v="2"/>
    <x v="8"/>
  </r>
  <r>
    <x v="1164"/>
    <x v="723"/>
    <d v="2014-09-09T00:00:00"/>
    <x v="2"/>
    <s v="VP-21760"/>
    <s v="Victoria Pisteka"/>
    <x v="1"/>
    <s v="United States"/>
    <x v="28"/>
    <x v="2"/>
    <x v="1"/>
    <s v="FUR-FU-10001487"/>
    <s v="Furniture"/>
    <x v="3"/>
    <s v="Eldon Expressions Wood and Plastic Desk Accessories, Cherry Wood"/>
    <n v="41.88"/>
    <n v="6"/>
    <n v="12.145200000000001"/>
    <x v="0"/>
    <x v="4"/>
  </r>
  <r>
    <x v="1165"/>
    <x v="724"/>
    <d v="2015-01-23T00:00:00"/>
    <x v="1"/>
    <s v="PM-18940"/>
    <s v="Paul MacIntyre"/>
    <x v="0"/>
    <s v="United States"/>
    <x v="303"/>
    <x v="5"/>
    <x v="3"/>
    <s v="FUR-TA-10002855"/>
    <s v="Furniture"/>
    <x v="2"/>
    <s v="Bevis Round Conference Table Top &amp; Single Column Base"/>
    <n v="102.438"/>
    <n v="1"/>
    <n v="-13.1706"/>
    <x v="4"/>
    <x v="8"/>
  </r>
  <r>
    <x v="1165"/>
    <x v="724"/>
    <d v="2015-01-23T00:00:00"/>
    <x v="1"/>
    <s v="PM-18940"/>
    <s v="Paul MacIntyre"/>
    <x v="0"/>
    <s v="United States"/>
    <x v="303"/>
    <x v="5"/>
    <x v="3"/>
    <s v="FUR-CH-10004875"/>
    <s v="Furniture"/>
    <x v="1"/>
    <s v="Harbour Creations 67200 Series Stacking Chairs"/>
    <n v="199.304"/>
    <n v="4"/>
    <n v="-8.5416000000000007"/>
    <x v="4"/>
    <x v="8"/>
  </r>
  <r>
    <x v="1166"/>
    <x v="683"/>
    <d v="2016-12-30T00:00:00"/>
    <x v="1"/>
    <s v="JE-15715"/>
    <s v="Joe Elijah"/>
    <x v="0"/>
    <s v="United States"/>
    <x v="15"/>
    <x v="13"/>
    <x v="1"/>
    <s v="FUR-CH-10000847"/>
    <s v="Furniture"/>
    <x v="1"/>
    <s v="Global Executive Mid-Back Manager's Chair"/>
    <n v="698.35199999999998"/>
    <n v="3"/>
    <n v="52.376399999999997"/>
    <x v="2"/>
    <x v="5"/>
  </r>
  <r>
    <x v="1166"/>
    <x v="683"/>
    <d v="2016-12-30T00:00:00"/>
    <x v="1"/>
    <s v="JE-15715"/>
    <s v="Joe Elijah"/>
    <x v="0"/>
    <s v="United States"/>
    <x v="15"/>
    <x v="13"/>
    <x v="1"/>
    <s v="FUR-TA-10001307"/>
    <s v="Furniture"/>
    <x v="2"/>
    <s v="SAFCO PlanMaster Heigh-Adjustable Drafting Table Base, 43w x 30d x 30-37h, Black"/>
    <n v="1747.25"/>
    <n v="5"/>
    <n v="629.01"/>
    <x v="2"/>
    <x v="5"/>
  </r>
  <r>
    <x v="1167"/>
    <x v="314"/>
    <d v="2014-11-02T00:00:00"/>
    <x v="0"/>
    <s v="AJ-10780"/>
    <s v="Anthony Jacobs"/>
    <x v="1"/>
    <s v="United States"/>
    <x v="75"/>
    <x v="15"/>
    <x v="2"/>
    <s v="FUR-TA-10003954"/>
    <s v="Furniture"/>
    <x v="2"/>
    <s v="Hon 94000 Series Round Tables"/>
    <n v="1421.664"/>
    <n v="8"/>
    <n v="-734.52639999999997"/>
    <x v="3"/>
    <x v="1"/>
  </r>
  <r>
    <x v="1168"/>
    <x v="120"/>
    <d v="2016-12-21T00:00:00"/>
    <x v="1"/>
    <s v="MP-18175"/>
    <s v="Mike Pelletier"/>
    <x v="2"/>
    <s v="United States"/>
    <x v="76"/>
    <x v="36"/>
    <x v="1"/>
    <s v="FUR-TA-10003473"/>
    <s v="Furniture"/>
    <x v="2"/>
    <s v="Bretford Rectangular Conference Table Tops"/>
    <n v="564.19500000000005"/>
    <n v="3"/>
    <n v="-304.6653"/>
    <x v="6"/>
    <x v="5"/>
  </r>
  <r>
    <x v="1169"/>
    <x v="272"/>
    <d v="2017-09-11T00:00:00"/>
    <x v="2"/>
    <s v="BF-11020"/>
    <s v="Barry Franzšsisch"/>
    <x v="1"/>
    <s v="United States"/>
    <x v="58"/>
    <x v="5"/>
    <x v="3"/>
    <s v="FUR-FU-10001095"/>
    <s v="Furniture"/>
    <x v="3"/>
    <s v="DAX Black Cherry Wood-Tone Poster Frame"/>
    <n v="21.184000000000001"/>
    <n v="2"/>
    <n v="-11.651199999999999"/>
    <x v="0"/>
    <x v="4"/>
  </r>
  <r>
    <x v="1169"/>
    <x v="272"/>
    <d v="2017-09-11T00:00:00"/>
    <x v="2"/>
    <s v="BF-11020"/>
    <s v="Barry Franzšsisch"/>
    <x v="1"/>
    <s v="United States"/>
    <x v="58"/>
    <x v="5"/>
    <x v="3"/>
    <s v="FUR-CH-10003535"/>
    <s v="Furniture"/>
    <x v="1"/>
    <s v="Global Armless Task Chair, Royal Blue"/>
    <n v="213.43"/>
    <n v="5"/>
    <n v="-39.637"/>
    <x v="0"/>
    <x v="4"/>
  </r>
  <r>
    <x v="1170"/>
    <x v="134"/>
    <d v="2017-02-27T00:00:00"/>
    <x v="1"/>
    <s v="KM-16375"/>
    <s v="Katherine Murray"/>
    <x v="2"/>
    <s v="United States"/>
    <x v="171"/>
    <x v="22"/>
    <x v="1"/>
    <s v="FUR-FU-10002253"/>
    <s v="Furniture"/>
    <x v="3"/>
    <s v="Howard Miller 13&quot; Diameter Pewter Finish Round Wall Clock"/>
    <n v="68.703999999999994"/>
    <n v="2"/>
    <n v="16.3172"/>
    <x v="1"/>
    <x v="11"/>
  </r>
  <r>
    <x v="1170"/>
    <x v="134"/>
    <d v="2017-02-27T00:00:00"/>
    <x v="1"/>
    <s v="KM-16375"/>
    <s v="Katherine Murray"/>
    <x v="2"/>
    <s v="United States"/>
    <x v="171"/>
    <x v="22"/>
    <x v="1"/>
    <s v="FUR-TA-10001039"/>
    <s v="Furniture"/>
    <x v="2"/>
    <s v="KI Adjustable-Height Table"/>
    <n v="386.91"/>
    <n v="9"/>
    <n v="-185.71680000000001"/>
    <x v="1"/>
    <x v="11"/>
  </r>
  <r>
    <x v="1171"/>
    <x v="725"/>
    <d v="2017-11-01T00:00:00"/>
    <x v="1"/>
    <s v="OT-18730"/>
    <s v="Olvera Toch"/>
    <x v="0"/>
    <s v="United States"/>
    <x v="304"/>
    <x v="25"/>
    <x v="0"/>
    <s v="FUR-TA-10001520"/>
    <s v="Furniture"/>
    <x v="2"/>
    <s v="Lesro Sheffield Collection Coffee Table, End Table, Center Table, Corner Table"/>
    <n v="356.85"/>
    <n v="5"/>
    <n v="60.664499999999997"/>
    <x v="6"/>
    <x v="1"/>
  </r>
  <r>
    <x v="1172"/>
    <x v="666"/>
    <d v="2017-05-14T00:00:00"/>
    <x v="0"/>
    <s v="CA-12775"/>
    <s v="Cynthia Arntzen"/>
    <x v="0"/>
    <s v="United States"/>
    <x v="109"/>
    <x v="18"/>
    <x v="2"/>
    <s v="FUR-FU-10000719"/>
    <s v="Furniture"/>
    <x v="3"/>
    <s v="DAX Cubicle Frames, 8-1/2 x 11"/>
    <n v="42.85"/>
    <n v="5"/>
    <n v="15.426"/>
    <x v="3"/>
    <x v="7"/>
  </r>
  <r>
    <x v="1173"/>
    <x v="278"/>
    <d v="2015-09-12T00:00:00"/>
    <x v="1"/>
    <s v="TW-21025"/>
    <s v="Tamara Willingham"/>
    <x v="2"/>
    <s v="United States"/>
    <x v="305"/>
    <x v="25"/>
    <x v="0"/>
    <s v="FUR-FU-10000820"/>
    <s v="Furniture"/>
    <x v="3"/>
    <s v="Tensor Brushed Steel Torchiere Floor Lamp"/>
    <n v="67.959999999999994"/>
    <n v="4"/>
    <n v="12.232799999999999"/>
    <x v="1"/>
    <x v="4"/>
  </r>
  <r>
    <x v="1174"/>
    <x v="567"/>
    <d v="2014-10-14T00:00:00"/>
    <x v="1"/>
    <s v="SD-20485"/>
    <s v="Shirley Daniels"/>
    <x v="2"/>
    <s v="United States"/>
    <x v="43"/>
    <x v="22"/>
    <x v="1"/>
    <s v="FUR-FU-10003724"/>
    <s v="Furniture"/>
    <x v="3"/>
    <s v="Westinghouse Clip-On Gooseneck Lamps"/>
    <n v="46.872"/>
    <n v="7"/>
    <n v="3.5154000000000001"/>
    <x v="4"/>
    <x v="1"/>
  </r>
  <r>
    <x v="1175"/>
    <x v="726"/>
    <d v="2014-11-10T00:00:00"/>
    <x v="1"/>
    <s v="DE-13255"/>
    <s v="Deanra Eno"/>
    <x v="2"/>
    <s v="United States"/>
    <x v="2"/>
    <x v="2"/>
    <x v="1"/>
    <s v="FUR-FU-10000320"/>
    <s v="Furniture"/>
    <x v="3"/>
    <s v="OIC Stacking Trays"/>
    <n v="20.04"/>
    <n v="6"/>
    <n v="8.8176000000000005"/>
    <x v="2"/>
    <x v="0"/>
  </r>
  <r>
    <x v="1176"/>
    <x v="584"/>
    <d v="2015-12-22T00:00:00"/>
    <x v="1"/>
    <s v="MC-18100"/>
    <s v="Mick Crebagga"/>
    <x v="0"/>
    <s v="United States"/>
    <x v="17"/>
    <x v="8"/>
    <x v="3"/>
    <s v="FUR-FU-10000965"/>
    <s v="Furniture"/>
    <x v="3"/>
    <s v="Howard Miller 11-1/2&quot; Diameter Ridgewood Wall Clock"/>
    <n v="41.552"/>
    <n v="2"/>
    <n v="-19.737200000000001"/>
    <x v="2"/>
    <x v="5"/>
  </r>
  <r>
    <x v="1177"/>
    <x v="720"/>
    <d v="2017-07-25T00:00:00"/>
    <x v="1"/>
    <s v="SW-20455"/>
    <s v="Shaun Weien"/>
    <x v="0"/>
    <s v="United States"/>
    <x v="53"/>
    <x v="2"/>
    <x v="1"/>
    <s v="FUR-CH-10000988"/>
    <s v="Furniture"/>
    <x v="1"/>
    <s v="Hon Olson Stacker Stools"/>
    <n v="225.29599999999999"/>
    <n v="2"/>
    <n v="22.529599999999999"/>
    <x v="4"/>
    <x v="3"/>
  </r>
  <r>
    <x v="1178"/>
    <x v="727"/>
    <d v="2015-05-24T00:00:00"/>
    <x v="1"/>
    <s v="SG-20470"/>
    <s v="Sheri Gordon"/>
    <x v="0"/>
    <s v="United States"/>
    <x v="306"/>
    <x v="30"/>
    <x v="0"/>
    <s v="FUR-FU-10001986"/>
    <s v="Furniture"/>
    <x v="3"/>
    <s v="Dana Fluorescent Magnifying Lamp, White, 36&quot;"/>
    <n v="163.136"/>
    <n v="4"/>
    <n v="20.391999999999999"/>
    <x v="4"/>
    <x v="7"/>
  </r>
  <r>
    <x v="1179"/>
    <x v="502"/>
    <d v="2015-11-19T00:00:00"/>
    <x v="1"/>
    <s v="GZ-14470"/>
    <s v="Gary Zandusky"/>
    <x v="0"/>
    <s v="United States"/>
    <x v="307"/>
    <x v="41"/>
    <x v="1"/>
    <s v="FUR-CH-10004287"/>
    <s v="Furniture"/>
    <x v="1"/>
    <s v="SAFCO Arco Folding Chair"/>
    <n v="883.84"/>
    <n v="4"/>
    <n v="99.432000000000002"/>
    <x v="2"/>
    <x v="0"/>
  </r>
  <r>
    <x v="1179"/>
    <x v="502"/>
    <d v="2015-11-19T00:00:00"/>
    <x v="1"/>
    <s v="GZ-14470"/>
    <s v="Gary Zandusky"/>
    <x v="0"/>
    <s v="United States"/>
    <x v="307"/>
    <x v="41"/>
    <x v="1"/>
    <s v="FUR-CH-10001891"/>
    <s v="Furniture"/>
    <x v="1"/>
    <s v="Global Deluxe Office Fabric Chairs"/>
    <n v="230.352"/>
    <n v="3"/>
    <n v="20.155799999999999"/>
    <x v="2"/>
    <x v="0"/>
  </r>
  <r>
    <x v="1180"/>
    <x v="417"/>
    <d v="2017-12-14T00:00:00"/>
    <x v="3"/>
    <s v="DB-13060"/>
    <s v="Dave Brooks"/>
    <x v="0"/>
    <s v="United States"/>
    <x v="187"/>
    <x v="8"/>
    <x v="3"/>
    <s v="FUR-FU-10002298"/>
    <s v="Furniture"/>
    <x v="3"/>
    <s v="Rubbermaid ClusterMat Chairmats, Mat Size- 66&quot; x 60&quot;, Lip 20&quot; x 11&quot; -90 Degree Angle"/>
    <n v="266.35199999999998"/>
    <n v="6"/>
    <n v="-292.98719999999997"/>
    <x v="7"/>
    <x v="5"/>
  </r>
  <r>
    <x v="1180"/>
    <x v="417"/>
    <d v="2017-12-14T00:00:00"/>
    <x v="3"/>
    <s v="DB-13060"/>
    <s v="Dave Brooks"/>
    <x v="0"/>
    <s v="United States"/>
    <x v="187"/>
    <x v="8"/>
    <x v="3"/>
    <s v="FUR-FU-10004091"/>
    <s v="Furniture"/>
    <x v="3"/>
    <s v="Howard Miller 13&quot; Diameter Goldtone Round Wall Clock"/>
    <n v="56.328000000000003"/>
    <n v="3"/>
    <n v="-26.755800000000001"/>
    <x v="7"/>
    <x v="5"/>
  </r>
  <r>
    <x v="1181"/>
    <x v="57"/>
    <d v="2016-04-15T00:00:00"/>
    <x v="1"/>
    <s v="CK-12325"/>
    <s v="Christine Kargatis"/>
    <x v="2"/>
    <s v="United States"/>
    <x v="308"/>
    <x v="31"/>
    <x v="0"/>
    <s v="FUR-FU-10003268"/>
    <s v="Furniture"/>
    <x v="3"/>
    <s v="Eldon Radial Chair Mat for Low to Medium Pile Carpets"/>
    <n v="159.91999999999999"/>
    <n v="4"/>
    <n v="31.984000000000002"/>
    <x v="1"/>
    <x v="6"/>
  </r>
  <r>
    <x v="1182"/>
    <x v="114"/>
    <d v="2016-11-09T00:00:00"/>
    <x v="1"/>
    <s v="MF-17665"/>
    <s v="Maureen Fritzler"/>
    <x v="1"/>
    <s v="United States"/>
    <x v="89"/>
    <x v="1"/>
    <x v="0"/>
    <s v="FUR-FU-10001889"/>
    <s v="Furniture"/>
    <x v="3"/>
    <s v="Ultra Door Pull Handle"/>
    <n v="50.496000000000002"/>
    <n v="6"/>
    <n v="8.2056000000000004"/>
    <x v="2"/>
    <x v="0"/>
  </r>
  <r>
    <x v="1183"/>
    <x v="311"/>
    <d v="2015-06-20T00:00:00"/>
    <x v="2"/>
    <s v="BV-11245"/>
    <s v="Benjamin Venier"/>
    <x v="1"/>
    <s v="United States"/>
    <x v="107"/>
    <x v="9"/>
    <x v="0"/>
    <s v="FUR-CH-10002965"/>
    <s v="Furniture"/>
    <x v="1"/>
    <s v="Global Leather Highback Executive Chair with Pneumatic Height Adjustment, Black"/>
    <n v="643.13599999999997"/>
    <n v="4"/>
    <n v="56.2744"/>
    <x v="3"/>
    <x v="2"/>
  </r>
  <r>
    <x v="1184"/>
    <x v="261"/>
    <d v="2014-05-31T00:00:00"/>
    <x v="1"/>
    <s v="MM-18055"/>
    <s v="Michelle Moray"/>
    <x v="0"/>
    <s v="United States"/>
    <x v="9"/>
    <x v="8"/>
    <x v="3"/>
    <s v="FUR-CH-10003981"/>
    <s v="Furniture"/>
    <x v="1"/>
    <s v="Global Commerce Series Low-Back Swivel/Tilt Chairs"/>
    <n v="359.77199999999999"/>
    <n v="2"/>
    <n v="-5.1395999999999997"/>
    <x v="2"/>
    <x v="7"/>
  </r>
  <r>
    <x v="1185"/>
    <x v="682"/>
    <d v="2017-07-11T00:00:00"/>
    <x v="1"/>
    <s v="PO-18850"/>
    <s v="Patrick O'Brill"/>
    <x v="0"/>
    <s v="United States"/>
    <x v="2"/>
    <x v="2"/>
    <x v="1"/>
    <s v="FUR-CH-10001146"/>
    <s v="Furniture"/>
    <x v="1"/>
    <s v="Global Task Chair, Black"/>
    <n v="122.136"/>
    <n v="3"/>
    <n v="-13.7403"/>
    <x v="2"/>
    <x v="3"/>
  </r>
  <r>
    <x v="1186"/>
    <x v="728"/>
    <d v="2016-06-30T00:00:00"/>
    <x v="0"/>
    <s v="BP-11155"/>
    <s v="Becky Pak"/>
    <x v="0"/>
    <s v="United States"/>
    <x v="309"/>
    <x v="18"/>
    <x v="2"/>
    <s v="FUR-CH-10003535"/>
    <s v="Furniture"/>
    <x v="1"/>
    <s v="Global Armless Task Chair, Royal Blue"/>
    <n v="121.96"/>
    <n v="2"/>
    <n v="20.7332"/>
    <x v="3"/>
    <x v="2"/>
  </r>
  <r>
    <x v="1187"/>
    <x v="102"/>
    <d v="2017-09-19T00:00:00"/>
    <x v="1"/>
    <s v="TC-21145"/>
    <s v="Theresa Coyne"/>
    <x v="1"/>
    <s v="United States"/>
    <x v="174"/>
    <x v="18"/>
    <x v="2"/>
    <s v="FUR-FU-10002445"/>
    <s v="Furniture"/>
    <x v="3"/>
    <s v="DAX Two-Tone Rosewood/Black Document Frame, Desktop, 5 x 7"/>
    <n v="47.4"/>
    <n v="5"/>
    <n v="18.96"/>
    <x v="4"/>
    <x v="4"/>
  </r>
  <r>
    <x v="1187"/>
    <x v="102"/>
    <d v="2017-09-19T00:00:00"/>
    <x v="1"/>
    <s v="TC-21145"/>
    <s v="Theresa Coyne"/>
    <x v="1"/>
    <s v="United States"/>
    <x v="174"/>
    <x v="18"/>
    <x v="2"/>
    <s v="FUR-CH-10003606"/>
    <s v="Furniture"/>
    <x v="1"/>
    <s v="SAFCO Folding Chair Trolley"/>
    <n v="512.96"/>
    <n v="4"/>
    <n v="143.62880000000001"/>
    <x v="4"/>
    <x v="4"/>
  </r>
  <r>
    <x v="1188"/>
    <x v="729"/>
    <d v="2016-07-26T00:00:00"/>
    <x v="0"/>
    <s v="DB-12970"/>
    <s v="Darren Budd"/>
    <x v="1"/>
    <s v="United States"/>
    <x v="13"/>
    <x v="7"/>
    <x v="2"/>
    <s v="FUR-CH-10001708"/>
    <s v="Furniture"/>
    <x v="1"/>
    <s v="Office Star - Contemporary Swivel Chair with Padded Adjustable Arms and Flex Back"/>
    <n v="253.76400000000001"/>
    <n v="2"/>
    <n v="31.015599999999999"/>
    <x v="3"/>
    <x v="3"/>
  </r>
  <r>
    <x v="1189"/>
    <x v="333"/>
    <d v="2017-04-24T00:00:00"/>
    <x v="1"/>
    <s v="SJ-20215"/>
    <s v="Sarah Jordon"/>
    <x v="0"/>
    <s v="United States"/>
    <x v="9"/>
    <x v="8"/>
    <x v="3"/>
    <s v="FUR-CH-10002602"/>
    <s v="Furniture"/>
    <x v="1"/>
    <s v="DMI Arturo Collection Mission-style Design Wood Chair"/>
    <n v="317.05799999999999"/>
    <n v="3"/>
    <n v="-18.117599999999999"/>
    <x v="4"/>
    <x v="6"/>
  </r>
  <r>
    <x v="1189"/>
    <x v="333"/>
    <d v="2017-04-24T00:00:00"/>
    <x v="1"/>
    <s v="SJ-20215"/>
    <s v="Sarah Jordon"/>
    <x v="0"/>
    <s v="United States"/>
    <x v="9"/>
    <x v="8"/>
    <x v="3"/>
    <s v="FUR-FU-10002456"/>
    <s v="Furniture"/>
    <x v="3"/>
    <s v="Master Caster Door Stop, Large Neon Orange"/>
    <n v="14.56"/>
    <n v="5"/>
    <n v="-6.1879999999999997"/>
    <x v="4"/>
    <x v="6"/>
  </r>
  <r>
    <x v="1190"/>
    <x v="222"/>
    <d v="2016-09-08T00:00:00"/>
    <x v="0"/>
    <s v="HF-14995"/>
    <s v="Herbert Flentye"/>
    <x v="0"/>
    <s v="United States"/>
    <x v="237"/>
    <x v="32"/>
    <x v="2"/>
    <s v="FUR-BO-10003159"/>
    <s v="Furniture"/>
    <x v="0"/>
    <s v="Sauder Camden County Collection Libraries, Planked Cherry Finish"/>
    <n v="344.94"/>
    <n v="3"/>
    <n v="31.044599999999999"/>
    <x v="2"/>
    <x v="4"/>
  </r>
  <r>
    <x v="1190"/>
    <x v="222"/>
    <d v="2016-09-08T00:00:00"/>
    <x v="0"/>
    <s v="HF-14995"/>
    <s v="Herbert Flentye"/>
    <x v="0"/>
    <s v="United States"/>
    <x v="237"/>
    <x v="32"/>
    <x v="2"/>
    <s v="FUR-FU-10002364"/>
    <s v="Furniture"/>
    <x v="3"/>
    <s v="Eldon Expressions Wood Desk Accessories, Oak"/>
    <n v="14.76"/>
    <n v="2"/>
    <n v="4.2804000000000002"/>
    <x v="2"/>
    <x v="4"/>
  </r>
  <r>
    <x v="1191"/>
    <x v="730"/>
    <d v="2017-07-28T00:00:00"/>
    <x v="0"/>
    <s v="JC-15775"/>
    <s v="John Castell"/>
    <x v="0"/>
    <s v="United States"/>
    <x v="3"/>
    <x v="3"/>
    <x v="2"/>
    <s v="FUR-FU-10000732"/>
    <s v="Furniture"/>
    <x v="3"/>
    <s v="Eldon 200 Class Desk Accessories"/>
    <n v="20.096"/>
    <n v="4"/>
    <n v="3.0144000000000002"/>
    <x v="0"/>
    <x v="3"/>
  </r>
  <r>
    <x v="1191"/>
    <x v="730"/>
    <d v="2017-07-28T00:00:00"/>
    <x v="0"/>
    <s v="JC-15775"/>
    <s v="John Castell"/>
    <x v="0"/>
    <s v="United States"/>
    <x v="3"/>
    <x v="3"/>
    <x v="2"/>
    <s v="FUR-TA-10001771"/>
    <s v="Furniture"/>
    <x v="2"/>
    <s v="Bush Cubix Conference Tables, Fully Assembled"/>
    <n v="138.58799999999999"/>
    <n v="1"/>
    <n v="-34.646999999999998"/>
    <x v="0"/>
    <x v="3"/>
  </r>
  <r>
    <x v="1192"/>
    <x v="615"/>
    <d v="2015-09-20T00:00:00"/>
    <x v="1"/>
    <s v="JH-15910"/>
    <s v="Jonathan Howell"/>
    <x v="0"/>
    <s v="United States"/>
    <x v="182"/>
    <x v="24"/>
    <x v="0"/>
    <s v="FUR-FU-10003975"/>
    <s v="Furniture"/>
    <x v="3"/>
    <s v="Eldon Advantage Chair Mats for Low to Medium Pile Carpets"/>
    <n v="129.93"/>
    <n v="3"/>
    <n v="12.993"/>
    <x v="1"/>
    <x v="4"/>
  </r>
  <r>
    <x v="1193"/>
    <x v="480"/>
    <d v="2016-11-15T00:00:00"/>
    <x v="1"/>
    <s v="BF-11170"/>
    <s v="Ben Ferrer"/>
    <x v="2"/>
    <s v="United States"/>
    <x v="155"/>
    <x v="2"/>
    <x v="1"/>
    <s v="FUR-FU-10003731"/>
    <s v="Furniture"/>
    <x v="3"/>
    <s v="Eldon Expressions Wood and Plastic Desk Accessories, Oak"/>
    <n v="9.98"/>
    <n v="1"/>
    <n v="2.7944"/>
    <x v="2"/>
    <x v="0"/>
  </r>
  <r>
    <x v="1194"/>
    <x v="397"/>
    <d v="2015-11-20T00:00:00"/>
    <x v="1"/>
    <s v="MC-17605"/>
    <s v="Matt Connell"/>
    <x v="1"/>
    <s v="United States"/>
    <x v="9"/>
    <x v="8"/>
    <x v="3"/>
    <s v="FUR-FU-10001215"/>
    <s v="Furniture"/>
    <x v="3"/>
    <s v="Howard Miller 11-1/2&quot; Diameter Brentwood Wall Clock"/>
    <n v="34.503999999999998"/>
    <n v="2"/>
    <n v="-15.5268"/>
    <x v="4"/>
    <x v="0"/>
  </r>
  <r>
    <x v="1195"/>
    <x v="382"/>
    <d v="2015-08-25T00:00:00"/>
    <x v="3"/>
    <s v="MC-18100"/>
    <s v="Mick Crebagga"/>
    <x v="0"/>
    <s v="United States"/>
    <x v="6"/>
    <x v="5"/>
    <x v="3"/>
    <s v="FUR-FU-10001473"/>
    <s v="Furniture"/>
    <x v="3"/>
    <s v="Eldon Executive Woodline II Desk Accessories, Mahogany"/>
    <n v="20.103999999999999"/>
    <n v="2"/>
    <n v="-16.585799999999999"/>
    <x v="7"/>
    <x v="10"/>
  </r>
  <r>
    <x v="1195"/>
    <x v="382"/>
    <d v="2015-08-25T00:00:00"/>
    <x v="3"/>
    <s v="MC-18100"/>
    <s v="Mick Crebagga"/>
    <x v="0"/>
    <s v="United States"/>
    <x v="6"/>
    <x v="5"/>
    <x v="3"/>
    <s v="FUR-FU-10002240"/>
    <s v="Furniture"/>
    <x v="3"/>
    <s v="Nu-Dell EZ-Mount Plastic Wall Frames"/>
    <n v="7.88"/>
    <n v="5"/>
    <n v="-3.94"/>
    <x v="7"/>
    <x v="10"/>
  </r>
  <r>
    <x v="1196"/>
    <x v="683"/>
    <d v="2017-01-01T00:00:00"/>
    <x v="1"/>
    <s v="LW-16825"/>
    <s v="Laurel Workman"/>
    <x v="1"/>
    <s v="United States"/>
    <x v="43"/>
    <x v="22"/>
    <x v="1"/>
    <s v="FUR-TA-10002607"/>
    <s v="Furniture"/>
    <x v="2"/>
    <s v="KI Conference Tables"/>
    <n v="35.445"/>
    <n v="1"/>
    <n v="-24.102599999999999"/>
    <x v="1"/>
    <x v="5"/>
  </r>
  <r>
    <x v="1196"/>
    <x v="683"/>
    <d v="2017-01-01T00:00:00"/>
    <x v="1"/>
    <s v="LW-16825"/>
    <s v="Laurel Workman"/>
    <x v="1"/>
    <s v="United States"/>
    <x v="43"/>
    <x v="22"/>
    <x v="1"/>
    <s v="FUR-CH-10004754"/>
    <s v="Furniture"/>
    <x v="1"/>
    <s v="Global Stack Chair with Arms, Black"/>
    <n v="47.968000000000004"/>
    <n v="2"/>
    <n v="4.1971999999999996"/>
    <x v="1"/>
    <x v="5"/>
  </r>
  <r>
    <x v="1197"/>
    <x v="731"/>
    <d v="2015-04-05T00:00:00"/>
    <x v="1"/>
    <s v="EB-13705"/>
    <s v="Ed Braxton"/>
    <x v="1"/>
    <s v="United States"/>
    <x v="6"/>
    <x v="5"/>
    <x v="3"/>
    <s v="FUR-FU-10001085"/>
    <s v="Furniture"/>
    <x v="3"/>
    <s v="3M Polarizing Light Filter Sleeves"/>
    <n v="22.38"/>
    <n v="3"/>
    <n v="-7.8330000000000002"/>
    <x v="2"/>
    <x v="9"/>
  </r>
  <r>
    <x v="1198"/>
    <x v="732"/>
    <d v="2017-09-15T00:00:00"/>
    <x v="2"/>
    <s v="PS-18760"/>
    <s v="Pamela Stobb"/>
    <x v="0"/>
    <s v="United States"/>
    <x v="3"/>
    <x v="3"/>
    <x v="2"/>
    <s v="FUR-CH-10002372"/>
    <s v="Furniture"/>
    <x v="1"/>
    <s v="Office Star - Ergonomically Designed Knee Chair"/>
    <n v="113.372"/>
    <n v="2"/>
    <n v="-29.152799999999999"/>
    <x v="5"/>
    <x v="4"/>
  </r>
  <r>
    <x v="1198"/>
    <x v="732"/>
    <d v="2017-09-15T00:00:00"/>
    <x v="2"/>
    <s v="PS-18760"/>
    <s v="Pamela Stobb"/>
    <x v="0"/>
    <s v="United States"/>
    <x v="3"/>
    <x v="3"/>
    <x v="2"/>
    <s v="FUR-FU-10001057"/>
    <s v="Furniture"/>
    <x v="3"/>
    <s v="Tensor Track Tree Floor Lamp"/>
    <n v="127.93600000000001"/>
    <n v="8"/>
    <n v="4.7976000000000001"/>
    <x v="5"/>
    <x v="4"/>
  </r>
  <r>
    <x v="1199"/>
    <x v="733"/>
    <d v="2014-06-21T00:00:00"/>
    <x v="1"/>
    <s v="GH-14425"/>
    <s v="Gary Hwang"/>
    <x v="0"/>
    <s v="United States"/>
    <x v="15"/>
    <x v="13"/>
    <x v="1"/>
    <s v="FUR-FU-10003981"/>
    <s v="Furniture"/>
    <x v="3"/>
    <s v="Eldon Wave Desk Accessories"/>
    <n v="6.24"/>
    <n v="3"/>
    <n v="2.6208"/>
    <x v="4"/>
    <x v="2"/>
  </r>
  <r>
    <x v="1200"/>
    <x v="158"/>
    <d v="2018-01-01T00:00:00"/>
    <x v="1"/>
    <s v="LO-17170"/>
    <s v="Lori Olson"/>
    <x v="1"/>
    <s v="United States"/>
    <x v="117"/>
    <x v="8"/>
    <x v="3"/>
    <s v="FUR-FU-10004586"/>
    <s v="Furniture"/>
    <x v="3"/>
    <s v="G.E. Longer-Life Indoor Recessed Floodlight Bulbs"/>
    <n v="7.968"/>
    <n v="3"/>
    <n v="-2.3904000000000001"/>
    <x v="4"/>
    <x v="5"/>
  </r>
  <r>
    <x v="1200"/>
    <x v="158"/>
    <d v="2018-01-01T00:00:00"/>
    <x v="1"/>
    <s v="LO-17170"/>
    <s v="Lori Olson"/>
    <x v="1"/>
    <s v="United States"/>
    <x v="117"/>
    <x v="8"/>
    <x v="3"/>
    <s v="FUR-CH-10004698"/>
    <s v="Furniture"/>
    <x v="1"/>
    <s v="Padded Folding Chairs, Black, 4/Carton"/>
    <n v="113.372"/>
    <n v="2"/>
    <n v="-3.2391999999999999"/>
    <x v="4"/>
    <x v="5"/>
  </r>
  <r>
    <x v="1200"/>
    <x v="158"/>
    <d v="2018-01-01T00:00:00"/>
    <x v="1"/>
    <s v="LO-17170"/>
    <s v="Lori Olson"/>
    <x v="1"/>
    <s v="United States"/>
    <x v="117"/>
    <x v="8"/>
    <x v="3"/>
    <s v="FUR-FU-10001935"/>
    <s v="Furniture"/>
    <x v="3"/>
    <s v="3M Hangers With Command Adhesive"/>
    <n v="2.96"/>
    <n v="2"/>
    <n v="-1.4059999999999999"/>
    <x v="4"/>
    <x v="5"/>
  </r>
  <r>
    <x v="1201"/>
    <x v="396"/>
    <d v="2015-07-29T00:00:00"/>
    <x v="1"/>
    <s v="YS-21880"/>
    <s v="Yana Sorensen"/>
    <x v="1"/>
    <s v="United States"/>
    <x v="132"/>
    <x v="33"/>
    <x v="0"/>
    <s v="FUR-TA-10002041"/>
    <s v="Furniture"/>
    <x v="2"/>
    <s v="Bevis Round Conference Table Top, X-Base"/>
    <n v="358.58"/>
    <n v="2"/>
    <n v="39.443800000000003"/>
    <x v="4"/>
    <x v="3"/>
  </r>
  <r>
    <x v="1202"/>
    <x v="63"/>
    <d v="2016-09-08T00:00:00"/>
    <x v="3"/>
    <s v="PJ-19015"/>
    <s v="Pauline Johnson"/>
    <x v="0"/>
    <s v="United States"/>
    <x v="72"/>
    <x v="2"/>
    <x v="1"/>
    <s v="FUR-TA-10003008"/>
    <s v="Furniture"/>
    <x v="2"/>
    <s v="Lesro Round Back Collection Coffee Table, End Table"/>
    <n v="146.04"/>
    <n v="1"/>
    <n v="-12.778499999999999"/>
    <x v="7"/>
    <x v="4"/>
  </r>
  <r>
    <x v="1203"/>
    <x v="487"/>
    <d v="2017-10-20T00:00:00"/>
    <x v="1"/>
    <s v="DL-13495"/>
    <s v="Dionis Lloyd"/>
    <x v="1"/>
    <s v="United States"/>
    <x v="310"/>
    <x v="2"/>
    <x v="1"/>
    <s v="FUR-FU-10000087"/>
    <s v="Furniture"/>
    <x v="3"/>
    <s v="Executive Impressions 14&quot; Two-Color Numerals Wall Clock"/>
    <n v="22.72"/>
    <n v="1"/>
    <n v="9.3152000000000008"/>
    <x v="2"/>
    <x v="1"/>
  </r>
  <r>
    <x v="1204"/>
    <x v="51"/>
    <d v="2016-09-17T00:00:00"/>
    <x v="1"/>
    <s v="AJ-10795"/>
    <s v="Anthony Johnson"/>
    <x v="1"/>
    <s v="United States"/>
    <x v="76"/>
    <x v="25"/>
    <x v="0"/>
    <s v="FUR-CH-10002073"/>
    <s v="Furniture"/>
    <x v="1"/>
    <s v="Hon Olson Stacker Chairs"/>
    <n v="1059.1199999999999"/>
    <n v="4"/>
    <n v="307.14479999999998"/>
    <x v="2"/>
    <x v="4"/>
  </r>
  <r>
    <x v="1205"/>
    <x v="734"/>
    <d v="2014-07-12T00:00:00"/>
    <x v="1"/>
    <s v="BC-11125"/>
    <s v="Becky Castell"/>
    <x v="2"/>
    <s v="United States"/>
    <x v="311"/>
    <x v="2"/>
    <x v="1"/>
    <s v="FUR-CH-10000155"/>
    <s v="Furniture"/>
    <x v="1"/>
    <s v="Global Comet Stacking Armless Chair"/>
    <n v="478.48"/>
    <n v="2"/>
    <n v="47.847999999999999"/>
    <x v="6"/>
    <x v="3"/>
  </r>
  <r>
    <x v="1206"/>
    <x v="607"/>
    <d v="2014-04-25T00:00:00"/>
    <x v="1"/>
    <s v="BP-11230"/>
    <s v="Benjamin Patterson"/>
    <x v="0"/>
    <s v="United States"/>
    <x v="2"/>
    <x v="2"/>
    <x v="1"/>
    <s v="FUR-FU-10000409"/>
    <s v="Furniture"/>
    <x v="3"/>
    <s v="GE 4 Foot Flourescent Tube, 40 Watt"/>
    <n v="59.92"/>
    <n v="4"/>
    <n v="27.563199999999998"/>
    <x v="2"/>
    <x v="6"/>
  </r>
  <r>
    <x v="1207"/>
    <x v="735"/>
    <d v="2016-01-12T00:00:00"/>
    <x v="1"/>
    <s v="JO-15145"/>
    <s v="Jack O'Briant"/>
    <x v="1"/>
    <s v="United States"/>
    <x v="20"/>
    <x v="16"/>
    <x v="3"/>
    <s v="FUR-BO-10002545"/>
    <s v="Furniture"/>
    <x v="0"/>
    <s v="Atlantic Metals Mobile 3-Shelf Bookcases, Custom Colors"/>
    <n v="1565.88"/>
    <n v="6"/>
    <n v="407.12880000000001"/>
    <x v="4"/>
    <x v="8"/>
  </r>
  <r>
    <x v="1208"/>
    <x v="452"/>
    <d v="2017-04-22T00:00:00"/>
    <x v="1"/>
    <s v="PS-18760"/>
    <s v="Pamela Stobb"/>
    <x v="0"/>
    <s v="United States"/>
    <x v="2"/>
    <x v="2"/>
    <x v="1"/>
    <s v="FUR-CH-10003774"/>
    <s v="Furniture"/>
    <x v="1"/>
    <s v="Global Wood Trimmed Manager's Task Chair, Khaki"/>
    <n v="218.352"/>
    <n v="3"/>
    <n v="-19.105799999999999"/>
    <x v="2"/>
    <x v="6"/>
  </r>
  <r>
    <x v="1209"/>
    <x v="650"/>
    <d v="2016-08-28T00:00:00"/>
    <x v="1"/>
    <s v="SC-20230"/>
    <s v="Scot Coram"/>
    <x v="1"/>
    <s v="United States"/>
    <x v="2"/>
    <x v="2"/>
    <x v="1"/>
    <s v="FUR-TA-10003569"/>
    <s v="Furniture"/>
    <x v="2"/>
    <s v="Bretford CR8500 Series Meeting Room Furniture"/>
    <n v="2887.056"/>
    <n v="9"/>
    <n v="180.441"/>
    <x v="1"/>
    <x v="10"/>
  </r>
  <r>
    <x v="1210"/>
    <x v="26"/>
    <d v="2016-09-10T00:00:00"/>
    <x v="1"/>
    <s v="MM-17920"/>
    <s v="Michael Moore"/>
    <x v="0"/>
    <s v="United States"/>
    <x v="180"/>
    <x v="25"/>
    <x v="0"/>
    <s v="FUR-TA-10003238"/>
    <s v="Furniture"/>
    <x v="2"/>
    <s v="Chromcraft Bull-Nose Wood 48&quot; x 96&quot; Rectangular Conference Tables"/>
    <n v="1652.94"/>
    <n v="3"/>
    <n v="314.05860000000001"/>
    <x v="2"/>
    <x v="4"/>
  </r>
  <r>
    <x v="1211"/>
    <x v="233"/>
    <d v="2015-10-15T00:00:00"/>
    <x v="3"/>
    <s v="CG-12520"/>
    <s v="Claire Gute"/>
    <x v="0"/>
    <s v="United States"/>
    <x v="144"/>
    <x v="5"/>
    <x v="3"/>
    <s v="FUR-FU-10004952"/>
    <s v="Furniture"/>
    <x v="3"/>
    <s v="C-Line Cubicle Keepers Polyproplyene Holder w/Velcro Back, 8-1/2x11, 25/Bx"/>
    <n v="131.376"/>
    <n v="6"/>
    <n v="-95.247600000000006"/>
    <x v="7"/>
    <x v="1"/>
  </r>
  <r>
    <x v="1212"/>
    <x v="239"/>
    <d v="2015-12-05T00:00:00"/>
    <x v="0"/>
    <s v="TW-21025"/>
    <s v="Tamara Willingham"/>
    <x v="2"/>
    <s v="United States"/>
    <x v="15"/>
    <x v="13"/>
    <x v="1"/>
    <s v="FUR-CH-10001215"/>
    <s v="Furniture"/>
    <x v="1"/>
    <s v="Global Troy Executive Leather Low-Back Tilter"/>
    <n v="2003.92"/>
    <n v="5"/>
    <n v="125.245"/>
    <x v="4"/>
    <x v="5"/>
  </r>
  <r>
    <x v="1212"/>
    <x v="239"/>
    <d v="2015-12-05T00:00:00"/>
    <x v="0"/>
    <s v="TW-21025"/>
    <s v="Tamara Willingham"/>
    <x v="2"/>
    <s v="United States"/>
    <x v="15"/>
    <x v="13"/>
    <x v="1"/>
    <s v="FUR-TA-10001705"/>
    <s v="Furniture"/>
    <x v="2"/>
    <s v="Bush Advantage Collection Round Conference Table"/>
    <n v="1913.4"/>
    <n v="9"/>
    <n v="401.81400000000002"/>
    <x v="4"/>
    <x v="5"/>
  </r>
  <r>
    <x v="1213"/>
    <x v="151"/>
    <d v="2015-06-04T00:00:00"/>
    <x v="1"/>
    <s v="BD-11320"/>
    <s v="Bill Donatelli"/>
    <x v="0"/>
    <s v="United States"/>
    <x v="12"/>
    <x v="11"/>
    <x v="3"/>
    <s v="FUR-CH-10002320"/>
    <s v="Furniture"/>
    <x v="1"/>
    <s v="Hon Pagoda Stacking Chairs"/>
    <n v="2567.84"/>
    <n v="8"/>
    <n v="770.35199999999998"/>
    <x v="4"/>
    <x v="7"/>
  </r>
  <r>
    <x v="1214"/>
    <x v="510"/>
    <d v="2017-09-22T00:00:00"/>
    <x v="1"/>
    <s v="SS-20140"/>
    <s v="Saphhira Shifley"/>
    <x v="1"/>
    <s v="United States"/>
    <x v="29"/>
    <x v="24"/>
    <x v="0"/>
    <s v="FUR-FU-10002963"/>
    <s v="Furniture"/>
    <x v="3"/>
    <s v="Master Caster Door Stop, Gray"/>
    <n v="20.32"/>
    <n v="4"/>
    <n v="6.9088000000000003"/>
    <x v="4"/>
    <x v="4"/>
  </r>
  <r>
    <x v="1215"/>
    <x v="736"/>
    <d v="2015-05-26T00:00:00"/>
    <x v="0"/>
    <s v="VS-21820"/>
    <s v="Vivek Sundaresam"/>
    <x v="0"/>
    <s v="United States"/>
    <x v="312"/>
    <x v="8"/>
    <x v="3"/>
    <s v="FUR-CH-10002880"/>
    <s v="Furniture"/>
    <x v="1"/>
    <s v="Global High-Back Leather Tilter, Burgundy"/>
    <n v="602.65099999999995"/>
    <n v="7"/>
    <n v="-163.57669999999999"/>
    <x v="3"/>
    <x v="7"/>
  </r>
  <r>
    <x v="1216"/>
    <x v="247"/>
    <d v="2017-12-15T00:00:00"/>
    <x v="1"/>
    <s v="JE-16165"/>
    <s v="Justin Ellison"/>
    <x v="1"/>
    <s v="United States"/>
    <x v="313"/>
    <x v="10"/>
    <x v="0"/>
    <s v="FUR-FU-10002364"/>
    <s v="Furniture"/>
    <x v="3"/>
    <s v="Eldon Expressions Wood Desk Accessories, Oak"/>
    <n v="14.76"/>
    <n v="2"/>
    <n v="4.2804000000000002"/>
    <x v="2"/>
    <x v="5"/>
  </r>
  <r>
    <x v="1217"/>
    <x v="605"/>
    <d v="2017-08-02T00:00:00"/>
    <x v="1"/>
    <s v="VG-21790"/>
    <s v="Vivek Gonzalez"/>
    <x v="0"/>
    <s v="United States"/>
    <x v="15"/>
    <x v="13"/>
    <x v="1"/>
    <s v="FUR-BO-10004709"/>
    <s v="Furniture"/>
    <x v="0"/>
    <s v="Bush Westfield Collection Bookcases, Medium Cherry Finish"/>
    <n v="115.96"/>
    <n v="2"/>
    <n v="25.511199999999999"/>
    <x v="4"/>
    <x v="3"/>
  </r>
  <r>
    <x v="1218"/>
    <x v="439"/>
    <d v="2014-12-21T00:00:00"/>
    <x v="1"/>
    <s v="SH-20635"/>
    <s v="Stefanie Holloman"/>
    <x v="1"/>
    <s v="United States"/>
    <x v="155"/>
    <x v="2"/>
    <x v="1"/>
    <s v="FUR-CH-10001854"/>
    <s v="Furniture"/>
    <x v="1"/>
    <s v="Office Star - Professional Matrix Back Chair with 2-to-1 Synchro Tilt and Mesh Fabric Seat"/>
    <n v="1403.92"/>
    <n v="5"/>
    <n v="70.195999999999998"/>
    <x v="2"/>
    <x v="5"/>
  </r>
  <r>
    <x v="1219"/>
    <x v="737"/>
    <d v="2015-12-04T00:00:00"/>
    <x v="1"/>
    <s v="JL-15235"/>
    <s v="Janet Lee"/>
    <x v="0"/>
    <s v="United States"/>
    <x v="13"/>
    <x v="7"/>
    <x v="2"/>
    <s v="FUR-BO-10001608"/>
    <s v="Furniture"/>
    <x v="0"/>
    <s v="Hon Metal Bookcases, Black"/>
    <n v="681.40800000000002"/>
    <n v="12"/>
    <n v="42.588000000000001"/>
    <x v="4"/>
    <x v="0"/>
  </r>
  <r>
    <x v="1220"/>
    <x v="738"/>
    <d v="2014-07-18T00:00:00"/>
    <x v="1"/>
    <s v="ST-20530"/>
    <s v="Shui Tom"/>
    <x v="0"/>
    <s v="United States"/>
    <x v="3"/>
    <x v="3"/>
    <x v="2"/>
    <s v="FUR-FU-10001057"/>
    <s v="Furniture"/>
    <x v="3"/>
    <s v="Tensor Track Tree Floor Lamp"/>
    <n v="31.984000000000002"/>
    <n v="2"/>
    <n v="1.1994"/>
    <x v="4"/>
    <x v="3"/>
  </r>
  <r>
    <x v="1221"/>
    <x v="227"/>
    <d v="2016-09-04T00:00:00"/>
    <x v="2"/>
    <s v="TA-21385"/>
    <s v="Tom Ashbrook"/>
    <x v="2"/>
    <s v="United States"/>
    <x v="9"/>
    <x v="8"/>
    <x v="3"/>
    <s v="FUR-FU-10000277"/>
    <s v="Furniture"/>
    <x v="3"/>
    <s v="Deflect-o DuraMat Antistatic Studded Beveled Mat for Medium Pile Carpeting"/>
    <n v="84.272000000000006"/>
    <n v="2"/>
    <n v="-75.844800000000006"/>
    <x v="3"/>
    <x v="4"/>
  </r>
  <r>
    <x v="1222"/>
    <x v="739"/>
    <d v="2016-10-04T00:00:00"/>
    <x v="1"/>
    <s v="GM-14680"/>
    <s v="Greg Matthias"/>
    <x v="0"/>
    <s v="United States"/>
    <x v="13"/>
    <x v="7"/>
    <x v="2"/>
    <s v="FUR-BO-10003034"/>
    <s v="Furniture"/>
    <x v="0"/>
    <s v="O'Sullivan Elevations Bookcase, Cherry Finish"/>
    <n v="523.91999999999996"/>
    <n v="5"/>
    <n v="-26.196000000000002"/>
    <x v="4"/>
    <x v="4"/>
  </r>
  <r>
    <x v="1223"/>
    <x v="740"/>
    <d v="2015-04-29T00:00:00"/>
    <x v="1"/>
    <s v="ZC-21910"/>
    <s v="Zuschuss Carroll"/>
    <x v="0"/>
    <s v="United States"/>
    <x v="14"/>
    <x v="8"/>
    <x v="3"/>
    <s v="FUR-CH-10003535"/>
    <s v="Furniture"/>
    <x v="1"/>
    <s v="Global Armless Task Chair, Royal Blue"/>
    <n v="128.05799999999999"/>
    <n v="3"/>
    <n v="-23.7822"/>
    <x v="4"/>
    <x v="6"/>
  </r>
  <r>
    <x v="1224"/>
    <x v="49"/>
    <d v="2017-11-19T00:00:00"/>
    <x v="3"/>
    <s v="AP-10720"/>
    <s v="Anne Pryor"/>
    <x v="2"/>
    <s v="United States"/>
    <x v="13"/>
    <x v="7"/>
    <x v="2"/>
    <s v="FUR-TA-10001676"/>
    <s v="Furniture"/>
    <x v="2"/>
    <s v="Hon 61000 Series Interactive Training Tables"/>
    <n v="79.974000000000004"/>
    <n v="3"/>
    <n v="-29.323799999999999"/>
    <x v="7"/>
    <x v="0"/>
  </r>
  <r>
    <x v="1225"/>
    <x v="197"/>
    <d v="2016-07-19T00:00:00"/>
    <x v="1"/>
    <s v="AR-10570"/>
    <s v="Anemone Ratner"/>
    <x v="0"/>
    <s v="United States"/>
    <x v="29"/>
    <x v="24"/>
    <x v="0"/>
    <s v="FUR-FU-10004848"/>
    <s v="Furniture"/>
    <x v="3"/>
    <s v="Howard Miller 13-3/4&quot; Diameter Brushed Chrome Round Wall Clock"/>
    <n v="51.75"/>
    <n v="1"/>
    <n v="15.525"/>
    <x v="2"/>
    <x v="3"/>
  </r>
  <r>
    <x v="1226"/>
    <x v="579"/>
    <d v="2016-01-13T00:00:00"/>
    <x v="0"/>
    <s v="JB-16000"/>
    <s v="Joy Bell-"/>
    <x v="0"/>
    <s v="United States"/>
    <x v="314"/>
    <x v="13"/>
    <x v="1"/>
    <s v="FUR-FU-10000010"/>
    <s v="Furniture"/>
    <x v="3"/>
    <s v="DAX Value U-Channel Document Frames, Easel Back"/>
    <n v="24.85"/>
    <n v="5"/>
    <n v="7.7035"/>
    <x v="0"/>
    <x v="8"/>
  </r>
  <r>
    <x v="1227"/>
    <x v="741"/>
    <d v="2015-07-02T00:00:00"/>
    <x v="1"/>
    <s v="CY-12745"/>
    <s v="Craig Yedwab"/>
    <x v="1"/>
    <s v="United States"/>
    <x v="171"/>
    <x v="22"/>
    <x v="1"/>
    <s v="FUR-FU-10004306"/>
    <s v="Furniture"/>
    <x v="3"/>
    <s v="Electrix Halogen Magnifier Lamp"/>
    <n v="621.76"/>
    <n v="4"/>
    <n v="46.631999999999998"/>
    <x v="4"/>
    <x v="2"/>
  </r>
  <r>
    <x v="1228"/>
    <x v="428"/>
    <d v="2015-11-13T00:00:00"/>
    <x v="0"/>
    <s v="RH-19600"/>
    <s v="Rob Haberlin"/>
    <x v="0"/>
    <s v="United States"/>
    <x v="247"/>
    <x v="25"/>
    <x v="0"/>
    <s v="FUR-FU-10000308"/>
    <s v="Furniture"/>
    <x v="3"/>
    <s v="Deflect-o Glass Clear Studded Chair Mats"/>
    <n v="186.54"/>
    <n v="3"/>
    <n v="41.038800000000002"/>
    <x v="2"/>
    <x v="0"/>
  </r>
  <r>
    <x v="1229"/>
    <x v="742"/>
    <d v="2015-04-03T00:00:00"/>
    <x v="1"/>
    <s v="DR-12940"/>
    <s v="Daniel Raglin"/>
    <x v="2"/>
    <s v="United States"/>
    <x v="315"/>
    <x v="8"/>
    <x v="3"/>
    <s v="FUR-CH-10003298"/>
    <s v="Furniture"/>
    <x v="1"/>
    <s v="Office Star - Contemporary Task Swivel chair with Loop Arms, Charcoal"/>
    <n v="366.74400000000003"/>
    <n v="4"/>
    <n v="-110.0232"/>
    <x v="4"/>
    <x v="9"/>
  </r>
  <r>
    <x v="1230"/>
    <x v="532"/>
    <d v="2014-08-21T00:00:00"/>
    <x v="0"/>
    <s v="DW-13195"/>
    <s v="David Wiener"/>
    <x v="1"/>
    <s v="United States"/>
    <x v="2"/>
    <x v="2"/>
    <x v="1"/>
    <s v="FUR-FU-10000723"/>
    <s v="Furniture"/>
    <x v="3"/>
    <s v="Deflect-o EconoMat Studded, No Bevel Mat for Low Pile Carpeting"/>
    <n v="289.24"/>
    <n v="7"/>
    <n v="26.031600000000001"/>
    <x v="3"/>
    <x v="10"/>
  </r>
  <r>
    <x v="1231"/>
    <x v="341"/>
    <d v="2015-11-05T00:00:00"/>
    <x v="1"/>
    <s v="JF-15490"/>
    <s v="Jeremy Farry"/>
    <x v="0"/>
    <s v="United States"/>
    <x v="13"/>
    <x v="7"/>
    <x v="2"/>
    <s v="FUR-CH-10001545"/>
    <s v="Furniture"/>
    <x v="1"/>
    <s v="Hon Comfortask Task/Swivel Chairs"/>
    <n v="205.16399999999999"/>
    <n v="2"/>
    <n v="13.6776"/>
    <x v="4"/>
    <x v="0"/>
  </r>
  <r>
    <x v="1232"/>
    <x v="256"/>
    <d v="2014-12-21T00:00:00"/>
    <x v="1"/>
    <s v="SP-20860"/>
    <s v="Sung Pak"/>
    <x v="1"/>
    <s v="United States"/>
    <x v="9"/>
    <x v="8"/>
    <x v="3"/>
    <s v="FUR-FU-10001546"/>
    <s v="Furniture"/>
    <x v="3"/>
    <s v="Dana Swing-Arm Lamps"/>
    <n v="8.5440000000000005"/>
    <n v="2"/>
    <n v="-7.476"/>
    <x v="6"/>
    <x v="5"/>
  </r>
  <r>
    <x v="1233"/>
    <x v="130"/>
    <d v="2015-08-25T00:00:00"/>
    <x v="1"/>
    <s v="KN-16390"/>
    <s v="Katherine Nockton"/>
    <x v="1"/>
    <s v="United States"/>
    <x v="76"/>
    <x v="15"/>
    <x v="2"/>
    <s v="FUR-CH-10003379"/>
    <s v="Furniture"/>
    <x v="1"/>
    <s v="Global Commerce Series High-Back Swivel/Tilt Chairs"/>
    <n v="598.45799999999997"/>
    <n v="3"/>
    <n v="-42.747"/>
    <x v="4"/>
    <x v="10"/>
  </r>
  <r>
    <x v="1233"/>
    <x v="130"/>
    <d v="2015-08-25T00:00:00"/>
    <x v="1"/>
    <s v="KN-16390"/>
    <s v="Katherine Nockton"/>
    <x v="1"/>
    <s v="United States"/>
    <x v="76"/>
    <x v="15"/>
    <x v="2"/>
    <s v="FUR-FU-10000193"/>
    <s v="Furniture"/>
    <x v="3"/>
    <s v="Tenex Chairmats For Use with Hard Floors"/>
    <n v="25.984000000000002"/>
    <n v="1"/>
    <n v="-3.8976000000000002"/>
    <x v="4"/>
    <x v="10"/>
  </r>
  <r>
    <x v="1234"/>
    <x v="13"/>
    <d v="2017-12-11T00:00:00"/>
    <x v="0"/>
    <s v="DB-12910"/>
    <s v="Daniel Byrd"/>
    <x v="2"/>
    <s v="United States"/>
    <x v="316"/>
    <x v="2"/>
    <x v="1"/>
    <s v="FUR-BO-10001519"/>
    <s v="Furniture"/>
    <x v="0"/>
    <s v="O'Sullivan 3-Shelf Heavy-Duty Bookcases"/>
    <n v="148.25700000000001"/>
    <n v="3"/>
    <n v="15.697800000000001"/>
    <x v="3"/>
    <x v="5"/>
  </r>
  <r>
    <x v="1235"/>
    <x v="743"/>
    <d v="2014-08-27T00:00:00"/>
    <x v="1"/>
    <s v="AP-10915"/>
    <s v="Arthur Prichep"/>
    <x v="0"/>
    <s v="United States"/>
    <x v="22"/>
    <x v="12"/>
    <x v="1"/>
    <s v="FUR-FU-10003274"/>
    <s v="Furniture"/>
    <x v="3"/>
    <s v="Regeneration Desk Collection"/>
    <n v="4.2240000000000002"/>
    <n v="3"/>
    <n v="1.2672000000000001"/>
    <x v="4"/>
    <x v="10"/>
  </r>
  <r>
    <x v="1236"/>
    <x v="367"/>
    <d v="2016-11-16T00:00:00"/>
    <x v="1"/>
    <s v="EB-13750"/>
    <s v="Edward Becker"/>
    <x v="1"/>
    <s v="United States"/>
    <x v="13"/>
    <x v="7"/>
    <x v="2"/>
    <s v="FUR-CH-10003774"/>
    <s v="Furniture"/>
    <x v="1"/>
    <s v="Global Wood Trimmed Manager's Task Chair, Khaki"/>
    <n v="245.64599999999999"/>
    <n v="3"/>
    <n v="8.1882000000000001"/>
    <x v="2"/>
    <x v="0"/>
  </r>
  <r>
    <x v="1237"/>
    <x v="17"/>
    <d v="2017-11-13T00:00:00"/>
    <x v="1"/>
    <s v="JE-15610"/>
    <s v="Jim Epp"/>
    <x v="1"/>
    <s v="United States"/>
    <x v="53"/>
    <x v="2"/>
    <x v="1"/>
    <s v="FUR-CH-10004675"/>
    <s v="Furniture"/>
    <x v="1"/>
    <s v="Lifetime Advantage Folding Chairs, 4/Carton"/>
    <n v="523.39200000000005"/>
    <n v="3"/>
    <n v="52.339199999999998"/>
    <x v="4"/>
    <x v="0"/>
  </r>
  <r>
    <x v="1238"/>
    <x v="430"/>
    <d v="2017-12-23T00:00:00"/>
    <x v="1"/>
    <s v="AT-10735"/>
    <s v="Annie Thurman"/>
    <x v="0"/>
    <s v="United States"/>
    <x v="13"/>
    <x v="7"/>
    <x v="2"/>
    <s v="FUR-FU-10000308"/>
    <s v="Furniture"/>
    <x v="3"/>
    <s v="Deflect-o Glass Clear Studded Chair Mats"/>
    <n v="124.36"/>
    <n v="2"/>
    <n v="27.359200000000001"/>
    <x v="6"/>
    <x v="5"/>
  </r>
  <r>
    <x v="1239"/>
    <x v="511"/>
    <d v="2017-07-23T00:00:00"/>
    <x v="1"/>
    <s v="SV-20365"/>
    <s v="Seth Vernon"/>
    <x v="0"/>
    <s v="United States"/>
    <x v="3"/>
    <x v="3"/>
    <x v="2"/>
    <s v="FUR-CH-10002647"/>
    <s v="Furniture"/>
    <x v="1"/>
    <s v="Situations Contoured Folding Chairs, 4/Set"/>
    <n v="198.744"/>
    <n v="4"/>
    <n v="-14.196"/>
    <x v="2"/>
    <x v="3"/>
  </r>
  <r>
    <x v="1240"/>
    <x v="676"/>
    <d v="2014-04-12T00:00:00"/>
    <x v="1"/>
    <s v="NM-18445"/>
    <s v="Nathan Mautz"/>
    <x v="2"/>
    <s v="United States"/>
    <x v="41"/>
    <x v="2"/>
    <x v="1"/>
    <s v="FUR-TA-10003748"/>
    <s v="Furniture"/>
    <x v="2"/>
    <s v="Bevis 36 x 72 Conference Tables"/>
    <n v="99.591999999999999"/>
    <n v="1"/>
    <n v="2.4897999999999998"/>
    <x v="4"/>
    <x v="6"/>
  </r>
  <r>
    <x v="1241"/>
    <x v="106"/>
    <d v="2016-12-11T00:00:00"/>
    <x v="3"/>
    <s v="WB-21850"/>
    <s v="William Brown"/>
    <x v="0"/>
    <s v="United States"/>
    <x v="261"/>
    <x v="2"/>
    <x v="1"/>
    <s v="FUR-CH-10003774"/>
    <s v="Furniture"/>
    <x v="1"/>
    <s v="Global Wood Trimmed Manager's Task Chair, Khaki"/>
    <n v="363.92"/>
    <n v="5"/>
    <n v="-31.843"/>
    <x v="7"/>
    <x v="5"/>
  </r>
  <r>
    <x v="1241"/>
    <x v="106"/>
    <d v="2016-12-11T00:00:00"/>
    <x v="3"/>
    <s v="WB-21850"/>
    <s v="William Brown"/>
    <x v="0"/>
    <s v="United States"/>
    <x v="261"/>
    <x v="2"/>
    <x v="1"/>
    <s v="FUR-TA-10004619"/>
    <s v="Furniture"/>
    <x v="2"/>
    <s v="Hon Non-Folding Utility Tables"/>
    <n v="892.13599999999997"/>
    <n v="7"/>
    <n v="111.517"/>
    <x v="7"/>
    <x v="5"/>
  </r>
  <r>
    <x v="1242"/>
    <x v="227"/>
    <d v="2016-09-06T00:00:00"/>
    <x v="1"/>
    <s v="JE-15715"/>
    <s v="Joe Elijah"/>
    <x v="0"/>
    <s v="United States"/>
    <x v="127"/>
    <x v="30"/>
    <x v="0"/>
    <s v="FUR-TA-10001768"/>
    <s v="Furniture"/>
    <x v="2"/>
    <s v="Hon Racetrack Conference Tables"/>
    <n v="472.51799999999997"/>
    <n v="3"/>
    <n v="-149.63069999999999"/>
    <x v="4"/>
    <x v="4"/>
  </r>
  <r>
    <x v="1243"/>
    <x v="744"/>
    <d v="2017-06-21T00:00:00"/>
    <x v="0"/>
    <s v="KH-16330"/>
    <s v="Katharine Harms"/>
    <x v="1"/>
    <s v="United States"/>
    <x v="19"/>
    <x v="15"/>
    <x v="2"/>
    <s v="FUR-CH-10000785"/>
    <s v="Furniture"/>
    <x v="1"/>
    <s v="Global Ergonomic Managers Chair"/>
    <n v="760.11599999999999"/>
    <n v="6"/>
    <n v="-43.435200000000002"/>
    <x v="3"/>
    <x v="2"/>
  </r>
  <r>
    <x v="1243"/>
    <x v="744"/>
    <d v="2017-06-21T00:00:00"/>
    <x v="0"/>
    <s v="KH-16330"/>
    <s v="Katharine Harms"/>
    <x v="1"/>
    <s v="United States"/>
    <x v="19"/>
    <x v="15"/>
    <x v="2"/>
    <s v="FUR-FU-10004909"/>
    <s v="Furniture"/>
    <x v="3"/>
    <s v="Contemporary Wood/Metal Frame"/>
    <n v="38.783999999999999"/>
    <n v="3"/>
    <n v="7.2720000000000002"/>
    <x v="3"/>
    <x v="2"/>
  </r>
  <r>
    <x v="1244"/>
    <x v="399"/>
    <d v="2016-05-06T00:00:00"/>
    <x v="2"/>
    <s v="LW-16990"/>
    <s v="Lindsay Williams"/>
    <x v="1"/>
    <s v="United States"/>
    <x v="0"/>
    <x v="34"/>
    <x v="1"/>
    <s v="FUR-TA-10003392"/>
    <s v="Furniture"/>
    <x v="2"/>
    <s v="Global Adaptabilities Conference Tables"/>
    <n v="1685.88"/>
    <n v="6"/>
    <n v="320.31720000000001"/>
    <x v="5"/>
    <x v="7"/>
  </r>
  <r>
    <x v="1245"/>
    <x v="451"/>
    <d v="2017-12-08T00:00:00"/>
    <x v="1"/>
    <s v="SO-20335"/>
    <s v="Sean O'Donnell"/>
    <x v="0"/>
    <s v="United States"/>
    <x v="15"/>
    <x v="13"/>
    <x v="1"/>
    <s v="FUR-BO-10002598"/>
    <s v="Furniture"/>
    <x v="0"/>
    <s v="Hon Metal Bookcases, Putty"/>
    <n v="141.96"/>
    <n v="2"/>
    <n v="41.168399999999998"/>
    <x v="1"/>
    <x v="5"/>
  </r>
  <r>
    <x v="1246"/>
    <x v="38"/>
    <d v="2015-08-16T00:00:00"/>
    <x v="1"/>
    <s v="MF-18250"/>
    <s v="Monica Federle"/>
    <x v="1"/>
    <s v="United States"/>
    <x v="13"/>
    <x v="7"/>
    <x v="2"/>
    <s v="FUR-FU-10000320"/>
    <s v="Furniture"/>
    <x v="3"/>
    <s v="OIC Stacking Trays"/>
    <n v="10.02"/>
    <n v="3"/>
    <n v="4.4088000000000003"/>
    <x v="1"/>
    <x v="10"/>
  </r>
  <r>
    <x v="1247"/>
    <x v="566"/>
    <d v="2016-11-20T00:00:00"/>
    <x v="1"/>
    <s v="JM-16195"/>
    <s v="Justin MacKendrick"/>
    <x v="0"/>
    <s v="United States"/>
    <x v="19"/>
    <x v="14"/>
    <x v="2"/>
    <s v="FUR-FU-10000550"/>
    <s v="Furniture"/>
    <x v="3"/>
    <s v="Stacking Trays by OIC"/>
    <n v="19.920000000000002"/>
    <n v="4"/>
    <n v="6.5735999999999999"/>
    <x v="6"/>
    <x v="0"/>
  </r>
  <r>
    <x v="1248"/>
    <x v="83"/>
    <d v="2017-12-01T00:00:00"/>
    <x v="1"/>
    <s v="TT-21460"/>
    <s v="Tonja Turnell"/>
    <x v="2"/>
    <s v="United States"/>
    <x v="52"/>
    <x v="6"/>
    <x v="3"/>
    <s v="FUR-TA-10001039"/>
    <s v="Furniture"/>
    <x v="2"/>
    <s v="KI Adjustable-Height Table"/>
    <n v="257.94"/>
    <n v="3"/>
    <n v="67.064400000000006"/>
    <x v="2"/>
    <x v="0"/>
  </r>
  <r>
    <x v="1248"/>
    <x v="83"/>
    <d v="2017-12-01T00:00:00"/>
    <x v="1"/>
    <s v="TT-21460"/>
    <s v="Tonja Turnell"/>
    <x v="2"/>
    <s v="United States"/>
    <x v="52"/>
    <x v="6"/>
    <x v="3"/>
    <s v="FUR-FU-10001473"/>
    <s v="Furniture"/>
    <x v="3"/>
    <s v="DAX Wood Document Frame"/>
    <n v="27.46"/>
    <n v="2"/>
    <n v="9.8856000000000002"/>
    <x v="2"/>
    <x v="0"/>
  </r>
  <r>
    <x v="1248"/>
    <x v="83"/>
    <d v="2017-12-01T00:00:00"/>
    <x v="1"/>
    <s v="TT-21460"/>
    <s v="Tonja Turnell"/>
    <x v="2"/>
    <s v="United States"/>
    <x v="52"/>
    <x v="6"/>
    <x v="3"/>
    <s v="FUR-CH-10004287"/>
    <s v="Furniture"/>
    <x v="1"/>
    <s v="SAFCO Arco Folding Chair"/>
    <n v="828.6"/>
    <n v="3"/>
    <n v="240.29400000000001"/>
    <x v="2"/>
    <x v="0"/>
  </r>
  <r>
    <x v="1249"/>
    <x v="141"/>
    <d v="2015-11-27T00:00:00"/>
    <x v="1"/>
    <s v="SS-20875"/>
    <s v="Sung Shariari"/>
    <x v="0"/>
    <s v="United States"/>
    <x v="89"/>
    <x v="1"/>
    <x v="0"/>
    <s v="FUR-BO-10001337"/>
    <s v="Furniture"/>
    <x v="0"/>
    <s v="O'Sullivan Living Dimensions 2-Shelf Bookcases"/>
    <n v="290.35199999999998"/>
    <n v="3"/>
    <n v="-36.293999999999997"/>
    <x v="1"/>
    <x v="0"/>
  </r>
  <r>
    <x v="1250"/>
    <x v="87"/>
    <d v="2017-09-07T00:00:00"/>
    <x v="3"/>
    <s v="TG-21640"/>
    <s v="Trudy Glocke"/>
    <x v="0"/>
    <s v="United States"/>
    <x v="317"/>
    <x v="23"/>
    <x v="3"/>
    <s v="FUR-FU-10003623"/>
    <s v="Furniture"/>
    <x v="3"/>
    <s v="DataProducts Ampli Magnifier Task Lamp, Black,"/>
    <n v="135.30000000000001"/>
    <n v="5"/>
    <n v="37.884"/>
    <x v="7"/>
    <x v="4"/>
  </r>
  <r>
    <x v="1251"/>
    <x v="168"/>
    <d v="2014-11-29T00:00:00"/>
    <x v="1"/>
    <s v="HP-14815"/>
    <s v="Harold Pawlan"/>
    <x v="2"/>
    <s v="United States"/>
    <x v="304"/>
    <x v="25"/>
    <x v="0"/>
    <s v="FUR-FU-10002045"/>
    <s v="Furniture"/>
    <x v="3"/>
    <s v="Executive Impressions 14&quot;"/>
    <n v="111.15"/>
    <n v="5"/>
    <n v="48.905999999999999"/>
    <x v="2"/>
    <x v="0"/>
  </r>
  <r>
    <x v="1252"/>
    <x v="745"/>
    <d v="2017-03-16T00:00:00"/>
    <x v="1"/>
    <s v="MH-17290"/>
    <s v="Marc Harrigan"/>
    <x v="2"/>
    <s v="United States"/>
    <x v="3"/>
    <x v="3"/>
    <x v="2"/>
    <s v="FUR-TA-10004086"/>
    <s v="Furniture"/>
    <x v="2"/>
    <s v="KI Adjustable-Height Table"/>
    <n v="154.76400000000001"/>
    <n v="3"/>
    <n v="-46.429200000000002"/>
    <x v="2"/>
    <x v="9"/>
  </r>
  <r>
    <x v="1253"/>
    <x v="313"/>
    <d v="2017-12-26T00:00:00"/>
    <x v="1"/>
    <s v="SR-20425"/>
    <s v="Sharelle Roach"/>
    <x v="2"/>
    <s v="United States"/>
    <x v="318"/>
    <x v="33"/>
    <x v="0"/>
    <s v="FUR-CH-10002647"/>
    <s v="Furniture"/>
    <x v="1"/>
    <s v="Situations Contoured Folding Chairs, 4/Set"/>
    <n v="141.96"/>
    <n v="2"/>
    <n v="35.49"/>
    <x v="4"/>
    <x v="5"/>
  </r>
  <r>
    <x v="1254"/>
    <x v="313"/>
    <d v="2017-12-25T00:00:00"/>
    <x v="0"/>
    <s v="AG-10330"/>
    <s v="Alex Grayson"/>
    <x v="0"/>
    <s v="United States"/>
    <x v="81"/>
    <x v="22"/>
    <x v="1"/>
    <s v="FUR-TA-10003008"/>
    <s v="Furniture"/>
    <x v="2"/>
    <s v="Lesro Round Back Collection Coffee Table, End Table"/>
    <n v="182.55"/>
    <n v="2"/>
    <n v="-135.08699999999999"/>
    <x v="0"/>
    <x v="5"/>
  </r>
  <r>
    <x v="1255"/>
    <x v="344"/>
    <d v="2015-12-27T00:00:00"/>
    <x v="0"/>
    <s v="LH-16900"/>
    <s v="Lena Hernandez"/>
    <x v="0"/>
    <s v="United States"/>
    <x v="29"/>
    <x v="24"/>
    <x v="0"/>
    <s v="FUR-FU-10000747"/>
    <s v="Furniture"/>
    <x v="3"/>
    <s v="Tenex B1-RE Series Chair Mats for Low Pile Carpets"/>
    <n v="275.88"/>
    <n v="6"/>
    <n v="46.8996"/>
    <x v="3"/>
    <x v="5"/>
  </r>
  <r>
    <x v="1256"/>
    <x v="746"/>
    <d v="2014-07-24T00:00:00"/>
    <x v="0"/>
    <s v="NP-18325"/>
    <s v="Naresj Patel"/>
    <x v="0"/>
    <s v="United States"/>
    <x v="28"/>
    <x v="2"/>
    <x v="1"/>
    <s v="FUR-CH-10000155"/>
    <s v="Furniture"/>
    <x v="1"/>
    <s v="Global Comet Stacking Armless Chair"/>
    <n v="717.72"/>
    <n v="3"/>
    <n v="71.772000000000006"/>
    <x v="3"/>
    <x v="3"/>
  </r>
  <r>
    <x v="1256"/>
    <x v="746"/>
    <d v="2014-07-24T00:00:00"/>
    <x v="0"/>
    <s v="NP-18325"/>
    <s v="Naresj Patel"/>
    <x v="0"/>
    <s v="United States"/>
    <x v="28"/>
    <x v="2"/>
    <x v="1"/>
    <s v="FUR-TA-10004767"/>
    <s v="Furniture"/>
    <x v="2"/>
    <s v="Safco Drafting Table"/>
    <n v="170.352"/>
    <n v="3"/>
    <n v="19.1646"/>
    <x v="3"/>
    <x v="3"/>
  </r>
  <r>
    <x v="1257"/>
    <x v="747"/>
    <d v="2017-10-14T00:00:00"/>
    <x v="1"/>
    <s v="GM-14440"/>
    <s v="Gary McGarr"/>
    <x v="0"/>
    <s v="United States"/>
    <x v="13"/>
    <x v="7"/>
    <x v="2"/>
    <s v="FUR-CH-10002372"/>
    <s v="Furniture"/>
    <x v="1"/>
    <s v="Office Star - Ergonomically Designed Knee Chair"/>
    <n v="145.76400000000001"/>
    <n v="2"/>
    <n v="3.2391999999999999"/>
    <x v="6"/>
    <x v="1"/>
  </r>
  <r>
    <x v="1258"/>
    <x v="488"/>
    <d v="2017-04-23T00:00:00"/>
    <x v="2"/>
    <s v="JM-15250"/>
    <s v="Janet Martin"/>
    <x v="0"/>
    <s v="United States"/>
    <x v="237"/>
    <x v="32"/>
    <x v="2"/>
    <s v="FUR-CH-10004218"/>
    <s v="Furniture"/>
    <x v="1"/>
    <s v="Global Fabric Manager's Chair, Dark Gray"/>
    <n v="908.82"/>
    <n v="9"/>
    <n v="227.20500000000001"/>
    <x v="3"/>
    <x v="6"/>
  </r>
  <r>
    <x v="1259"/>
    <x v="301"/>
    <d v="2017-08-24T00:00:00"/>
    <x v="1"/>
    <s v="ED-13885"/>
    <s v="Emily Ducich"/>
    <x v="2"/>
    <s v="United States"/>
    <x v="6"/>
    <x v="5"/>
    <x v="3"/>
    <s v="FUR-CH-10002017"/>
    <s v="Furniture"/>
    <x v="1"/>
    <s v="SAFCO Optional Arm Kit for Workspace Cribbage Stacking Chair"/>
    <n v="74.591999999999999"/>
    <n v="4"/>
    <n v="-2.1312000000000002"/>
    <x v="1"/>
    <x v="10"/>
  </r>
  <r>
    <x v="1259"/>
    <x v="301"/>
    <d v="2017-08-24T00:00:00"/>
    <x v="1"/>
    <s v="ED-13885"/>
    <s v="Emily Ducich"/>
    <x v="2"/>
    <s v="United States"/>
    <x v="6"/>
    <x v="5"/>
    <x v="3"/>
    <s v="FUR-FU-10003247"/>
    <s v="Furniture"/>
    <x v="3"/>
    <s v="36X48 HARDFLOOR CHAIRMAT"/>
    <n v="16.783999999999999"/>
    <n v="2"/>
    <n v="-22.238800000000001"/>
    <x v="1"/>
    <x v="10"/>
  </r>
  <r>
    <x v="1260"/>
    <x v="689"/>
    <d v="2016-11-15T00:00:00"/>
    <x v="2"/>
    <s v="DW-13480"/>
    <s v="Dianna Wilson"/>
    <x v="2"/>
    <s v="United States"/>
    <x v="53"/>
    <x v="2"/>
    <x v="1"/>
    <s v="FUR-TA-10003392"/>
    <s v="Furniture"/>
    <x v="2"/>
    <s v="Global Adaptabilities Conference Tables"/>
    <n v="674.35199999999998"/>
    <n v="3"/>
    <n v="-8.4293999999999993"/>
    <x v="0"/>
    <x v="0"/>
  </r>
  <r>
    <x v="1261"/>
    <x v="282"/>
    <d v="2016-11-17T00:00:00"/>
    <x v="1"/>
    <s v="PO-19180"/>
    <s v="Philisse Overcash"/>
    <x v="2"/>
    <s v="United States"/>
    <x v="15"/>
    <x v="13"/>
    <x v="1"/>
    <s v="FUR-FU-10004848"/>
    <s v="Furniture"/>
    <x v="3"/>
    <s v="DAX Solid Wood Frames"/>
    <n v="19.54"/>
    <n v="2"/>
    <n v="7.2298"/>
    <x v="4"/>
    <x v="0"/>
  </r>
  <r>
    <x v="1262"/>
    <x v="673"/>
    <d v="2016-12-03T00:00:00"/>
    <x v="1"/>
    <s v="HF-14995"/>
    <s v="Herbert Flentye"/>
    <x v="0"/>
    <s v="United States"/>
    <x v="1"/>
    <x v="1"/>
    <x v="0"/>
    <s v="FUR-TA-10001039"/>
    <s v="Furniture"/>
    <x v="2"/>
    <s v="KI Adjustable-Height Table"/>
    <n v="331.02300000000002"/>
    <n v="7"/>
    <n v="-114.35339999999999"/>
    <x v="6"/>
    <x v="0"/>
  </r>
  <r>
    <x v="1263"/>
    <x v="48"/>
    <d v="2016-10-28T00:00:00"/>
    <x v="3"/>
    <s v="VB-21745"/>
    <s v="Victoria Brennan"/>
    <x v="1"/>
    <s v="United States"/>
    <x v="77"/>
    <x v="7"/>
    <x v="2"/>
    <s v="FUR-FU-10003806"/>
    <s v="Furniture"/>
    <x v="3"/>
    <s v="Tenex Chairmat w/ Average Lip, 45&quot; x 53&quot;"/>
    <n v="756.8"/>
    <n v="5"/>
    <n v="75.680000000000007"/>
    <x v="7"/>
    <x v="1"/>
  </r>
  <r>
    <x v="1264"/>
    <x v="527"/>
    <d v="2015-01-02T00:00:00"/>
    <x v="1"/>
    <s v="MG-17890"/>
    <s v="Michael Granlund"/>
    <x v="2"/>
    <s v="United States"/>
    <x v="317"/>
    <x v="8"/>
    <x v="3"/>
    <s v="FUR-FU-10002111"/>
    <s v="Furniture"/>
    <x v="3"/>
    <s v="Master Caster Door Stop, Large Brown"/>
    <n v="8.7360000000000007"/>
    <n v="3"/>
    <n v="-4.8048000000000002"/>
    <x v="4"/>
    <x v="5"/>
  </r>
  <r>
    <x v="1265"/>
    <x v="125"/>
    <d v="2017-10-06T00:00:00"/>
    <x v="1"/>
    <s v="CM-12115"/>
    <s v="Chad McGuire"/>
    <x v="0"/>
    <s v="United States"/>
    <x v="28"/>
    <x v="2"/>
    <x v="1"/>
    <s v="FUR-FU-10001424"/>
    <s v="Furniture"/>
    <x v="3"/>
    <s v="Dax Clear Box Frame"/>
    <n v="17.46"/>
    <n v="2"/>
    <n v="5.9363999999999999"/>
    <x v="4"/>
    <x v="1"/>
  </r>
  <r>
    <x v="1266"/>
    <x v="197"/>
    <d v="2016-07-18T00:00:00"/>
    <x v="1"/>
    <s v="RB-19360"/>
    <s v="Raymond Buch"/>
    <x v="0"/>
    <s v="United States"/>
    <x v="28"/>
    <x v="2"/>
    <x v="1"/>
    <s v="FUR-FU-10000073"/>
    <s v="Furniture"/>
    <x v="3"/>
    <s v="Deflect-O Glasstique Clear Desk Accessories"/>
    <n v="30.8"/>
    <n v="4"/>
    <n v="10.164"/>
    <x v="4"/>
    <x v="3"/>
  </r>
  <r>
    <x v="1267"/>
    <x v="177"/>
    <d v="2016-03-12T00:00:00"/>
    <x v="1"/>
    <s v="GB-14575"/>
    <s v="Giulietta Baptist"/>
    <x v="0"/>
    <s v="United States"/>
    <x v="13"/>
    <x v="7"/>
    <x v="2"/>
    <s v="FUR-FU-10003347"/>
    <s v="Furniture"/>
    <x v="3"/>
    <s v="Coloredge Poster Frame"/>
    <n v="113.6"/>
    <n v="8"/>
    <n v="44.304000000000002"/>
    <x v="4"/>
    <x v="9"/>
  </r>
  <r>
    <x v="1268"/>
    <x v="695"/>
    <d v="2016-12-30T00:00:00"/>
    <x v="1"/>
    <s v="SC-20305"/>
    <s v="Sean Christensen"/>
    <x v="0"/>
    <s v="United States"/>
    <x v="124"/>
    <x v="2"/>
    <x v="1"/>
    <s v="FUR-FU-10000771"/>
    <s v="Furniture"/>
    <x v="3"/>
    <s v="Eldon 200 Class Desk Accessories, Smoke"/>
    <n v="43.96"/>
    <n v="7"/>
    <n v="18.463200000000001"/>
    <x v="6"/>
    <x v="5"/>
  </r>
  <r>
    <x v="1269"/>
    <x v="748"/>
    <d v="2017-04-25T00:00:00"/>
    <x v="0"/>
    <s v="JF-15355"/>
    <s v="Jay Fein"/>
    <x v="0"/>
    <s v="United States"/>
    <x v="102"/>
    <x v="2"/>
    <x v="1"/>
    <s v="FUR-FU-10002445"/>
    <s v="Furniture"/>
    <x v="3"/>
    <s v="DAX Two-Tone Rosewood/Black Document Frame, Desktop, 5 x 7"/>
    <n v="66.36"/>
    <n v="7"/>
    <n v="26.544"/>
    <x v="3"/>
    <x v="6"/>
  </r>
  <r>
    <x v="1269"/>
    <x v="748"/>
    <d v="2017-04-25T00:00:00"/>
    <x v="0"/>
    <s v="JF-15355"/>
    <s v="Jay Fein"/>
    <x v="0"/>
    <s v="United States"/>
    <x v="102"/>
    <x v="2"/>
    <x v="1"/>
    <s v="FUR-FU-10004864"/>
    <s v="Furniture"/>
    <x v="3"/>
    <s v="Eldon 500 Class Desk Accessories"/>
    <n v="24.14"/>
    <n v="2"/>
    <n v="7.9661999999999997"/>
    <x v="3"/>
    <x v="6"/>
  </r>
  <r>
    <x v="1270"/>
    <x v="301"/>
    <d v="2017-08-22T00:00:00"/>
    <x v="0"/>
    <s v="TP-21415"/>
    <s v="Tom Prescott"/>
    <x v="0"/>
    <s v="United States"/>
    <x v="3"/>
    <x v="3"/>
    <x v="2"/>
    <s v="FUR-CH-10002024"/>
    <s v="Furniture"/>
    <x v="1"/>
    <s v="HON 5400 Series Task Chairs for Big and Tall"/>
    <n v="4416.174"/>
    <n v="9"/>
    <n v="-630.88199999999995"/>
    <x v="2"/>
    <x v="10"/>
  </r>
  <r>
    <x v="1271"/>
    <x v="749"/>
    <d v="2014-03-08T00:00:00"/>
    <x v="1"/>
    <s v="JS-15595"/>
    <s v="Jill Stevenson"/>
    <x v="1"/>
    <s v="United States"/>
    <x v="29"/>
    <x v="15"/>
    <x v="2"/>
    <s v="FUR-BO-10001972"/>
    <s v="Furniture"/>
    <x v="0"/>
    <s v="O'Sullivan 4-Shelf Bookcase in Odessa Pine"/>
    <n v="302.45"/>
    <n v="5"/>
    <n v="-199.61699999999999"/>
    <x v="2"/>
    <x v="9"/>
  </r>
  <r>
    <x v="1272"/>
    <x v="82"/>
    <d v="2016-06-04T00:00:00"/>
    <x v="1"/>
    <s v="EM-14140"/>
    <s v="Eugene Moren"/>
    <x v="2"/>
    <s v="United States"/>
    <x v="319"/>
    <x v="16"/>
    <x v="3"/>
    <s v="FUR-FU-10001037"/>
    <s v="Furniture"/>
    <x v="3"/>
    <s v="DAX Charcoal/Nickel-Tone Document Frame, 5 x 7"/>
    <n v="47.4"/>
    <n v="5"/>
    <n v="21.33"/>
    <x v="2"/>
    <x v="7"/>
  </r>
  <r>
    <x v="1273"/>
    <x v="255"/>
    <d v="2014-11-26T00:00:00"/>
    <x v="0"/>
    <s v="DK-12835"/>
    <s v="Damala Kotsonis"/>
    <x v="1"/>
    <s v="United States"/>
    <x v="6"/>
    <x v="5"/>
    <x v="3"/>
    <s v="FUR-CH-10001973"/>
    <s v="Furniture"/>
    <x v="1"/>
    <s v="Office Star Flex Back Scooter Chair with White Frame"/>
    <n v="155.37200000000001"/>
    <n v="2"/>
    <n v="-35.513599999999997"/>
    <x v="0"/>
    <x v="0"/>
  </r>
  <r>
    <x v="1274"/>
    <x v="750"/>
    <d v="2016-01-20T00:00:00"/>
    <x v="1"/>
    <s v="AG-10675"/>
    <s v="Anna Gayman"/>
    <x v="0"/>
    <s v="United States"/>
    <x v="41"/>
    <x v="30"/>
    <x v="0"/>
    <s v="FUR-FU-10003374"/>
    <s v="Furniture"/>
    <x v="3"/>
    <s v="Electrix Fluorescent Magnifier Lamps &amp; Weighted Base"/>
    <n v="315.77600000000001"/>
    <n v="8"/>
    <n v="31.5776"/>
    <x v="6"/>
    <x v="8"/>
  </r>
  <r>
    <x v="1275"/>
    <x v="751"/>
    <d v="2016-09-22T00:00:00"/>
    <x v="1"/>
    <s v="KD-16495"/>
    <s v="Keith Dawkins"/>
    <x v="1"/>
    <s v="United States"/>
    <x v="124"/>
    <x v="2"/>
    <x v="1"/>
    <s v="FUR-BO-10001918"/>
    <s v="Furniture"/>
    <x v="0"/>
    <s v="Sauder Forest Hills Library with Doors, Woodland Oak Finish"/>
    <n v="273.666"/>
    <n v="2"/>
    <n v="-12.878399999999999"/>
    <x v="6"/>
    <x v="4"/>
  </r>
  <r>
    <x v="1276"/>
    <x v="18"/>
    <d v="2015-11-17T00:00:00"/>
    <x v="1"/>
    <s v="AW-10930"/>
    <s v="Arthur Wiediger"/>
    <x v="2"/>
    <s v="United States"/>
    <x v="320"/>
    <x v="46"/>
    <x v="1"/>
    <s v="FUR-FU-10000794"/>
    <s v="Furniture"/>
    <x v="3"/>
    <s v="Eldon Stackable Tray, Side-Load, Legal, Smoke"/>
    <n v="63.98"/>
    <n v="7"/>
    <n v="21.7532"/>
    <x v="4"/>
    <x v="0"/>
  </r>
  <r>
    <x v="1277"/>
    <x v="198"/>
    <d v="2017-09-13T00:00:00"/>
    <x v="1"/>
    <s v="LC-17140"/>
    <s v="Logan Currie"/>
    <x v="0"/>
    <s v="United States"/>
    <x v="59"/>
    <x v="15"/>
    <x v="2"/>
    <s v="FUR-FU-10000723"/>
    <s v="Furniture"/>
    <x v="3"/>
    <s v="Deflect-o EconoMat Studded, No Bevel Mat for Low Pile Carpeting"/>
    <n v="66.111999999999995"/>
    <n v="2"/>
    <n v="-9.0904000000000007"/>
    <x v="4"/>
    <x v="4"/>
  </r>
  <r>
    <x v="1278"/>
    <x v="210"/>
    <d v="2016-06-25T00:00:00"/>
    <x v="1"/>
    <s v="BS-11365"/>
    <s v="Bill Shonely"/>
    <x v="1"/>
    <s v="United States"/>
    <x v="258"/>
    <x v="37"/>
    <x v="3"/>
    <s v="FUR-FU-10004270"/>
    <s v="Furniture"/>
    <x v="3"/>
    <s v="Executive Impressions 13&quot; Clairmont Wall Clock"/>
    <n v="57.69"/>
    <n v="3"/>
    <n v="23.652899999999999"/>
    <x v="2"/>
    <x v="2"/>
  </r>
  <r>
    <x v="1279"/>
    <x v="752"/>
    <d v="2016-01-29T00:00:00"/>
    <x v="1"/>
    <s v="CB-12415"/>
    <s v="Christy Brittain"/>
    <x v="0"/>
    <s v="United States"/>
    <x v="2"/>
    <x v="2"/>
    <x v="1"/>
    <s v="FUR-FU-10000719"/>
    <s v="Furniture"/>
    <x v="3"/>
    <s v="DAX Cubicle Frames, 8-1/2 x 11"/>
    <n v="59.99"/>
    <n v="7"/>
    <n v="21.596399999999999"/>
    <x v="6"/>
    <x v="8"/>
  </r>
  <r>
    <x v="1280"/>
    <x v="753"/>
    <d v="2015-05-31T00:00:00"/>
    <x v="1"/>
    <s v="RD-19900"/>
    <s v="Ruben Dartt"/>
    <x v="0"/>
    <s v="United States"/>
    <x v="321"/>
    <x v="13"/>
    <x v="1"/>
    <s v="FUR-FU-10003849"/>
    <s v="Furniture"/>
    <x v="3"/>
    <s v="DAX Metal Frame, Desktop, Stepped-Edge"/>
    <n v="20.239999999999998"/>
    <n v="1"/>
    <n v="7.8936000000000002"/>
    <x v="2"/>
    <x v="7"/>
  </r>
  <r>
    <x v="1281"/>
    <x v="356"/>
    <d v="2014-11-21T00:00:00"/>
    <x v="2"/>
    <s v="JK-15730"/>
    <s v="Joe Kamberova"/>
    <x v="0"/>
    <s v="United States"/>
    <x v="322"/>
    <x v="8"/>
    <x v="3"/>
    <s v="FUR-TA-10002533"/>
    <s v="Furniture"/>
    <x v="2"/>
    <s v="BPI Conference Tables"/>
    <n v="292.10000000000002"/>
    <n v="4"/>
    <n v="-175.26"/>
    <x v="0"/>
    <x v="0"/>
  </r>
  <r>
    <x v="1281"/>
    <x v="356"/>
    <d v="2014-11-21T00:00:00"/>
    <x v="2"/>
    <s v="JK-15730"/>
    <s v="Joe Kamberova"/>
    <x v="0"/>
    <s v="United States"/>
    <x v="322"/>
    <x v="8"/>
    <x v="3"/>
    <s v="FUR-FU-10001546"/>
    <s v="Furniture"/>
    <x v="3"/>
    <s v="Dana Swing-Arm Lamps"/>
    <n v="8.5440000000000005"/>
    <n v="2"/>
    <n v="-7.476"/>
    <x v="0"/>
    <x v="0"/>
  </r>
  <r>
    <x v="1281"/>
    <x v="356"/>
    <d v="2014-11-21T00:00:00"/>
    <x v="2"/>
    <s v="JK-15730"/>
    <s v="Joe Kamberova"/>
    <x v="0"/>
    <s v="United States"/>
    <x v="322"/>
    <x v="8"/>
    <x v="3"/>
    <s v="FUR-BO-10003546"/>
    <s v="Furniture"/>
    <x v="0"/>
    <s v="Hon 4-Shelf Metal Bookcases"/>
    <n v="424.11599999999999"/>
    <n v="6"/>
    <n v="-30.294"/>
    <x v="0"/>
    <x v="0"/>
  </r>
  <r>
    <x v="1282"/>
    <x v="362"/>
    <d v="2017-09-08T00:00:00"/>
    <x v="1"/>
    <s v="DO-13645"/>
    <s v="Doug O'Connell"/>
    <x v="0"/>
    <s v="United States"/>
    <x v="98"/>
    <x v="1"/>
    <x v="0"/>
    <s v="FUR-CH-10003817"/>
    <s v="Furniture"/>
    <x v="1"/>
    <s v="Global Value Steno Chair, Gray"/>
    <n v="97.183999999999997"/>
    <n v="2"/>
    <n v="6.0739999999999998"/>
    <x v="4"/>
    <x v="4"/>
  </r>
  <r>
    <x v="1283"/>
    <x v="754"/>
    <d v="2014-04-02T00:00:00"/>
    <x v="1"/>
    <s v="MG-18145"/>
    <s v="Mike Gockenbach"/>
    <x v="0"/>
    <s v="United States"/>
    <x v="215"/>
    <x v="5"/>
    <x v="3"/>
    <s v="FUR-TA-10001889"/>
    <s v="Furniture"/>
    <x v="2"/>
    <s v="Bush Advantage Collection Racetrack Conference Table"/>
    <n v="890.84100000000001"/>
    <n v="3"/>
    <n v="-152.71559999999999"/>
    <x v="4"/>
    <x v="9"/>
  </r>
  <r>
    <x v="1284"/>
    <x v="541"/>
    <d v="2016-11-07T00:00:00"/>
    <x v="0"/>
    <s v="LH-17155"/>
    <s v="Logan Haushalter"/>
    <x v="0"/>
    <s v="United States"/>
    <x v="124"/>
    <x v="2"/>
    <x v="1"/>
    <s v="FUR-CH-10004875"/>
    <s v="Furniture"/>
    <x v="1"/>
    <s v="Harbour Creations 67200 Series Stacking Chairs"/>
    <n v="113.88800000000001"/>
    <n v="2"/>
    <n v="9.9651999999999994"/>
    <x v="3"/>
    <x v="0"/>
  </r>
  <r>
    <x v="1285"/>
    <x v="755"/>
    <d v="2016-10-20T00:00:00"/>
    <x v="1"/>
    <s v="NB-18655"/>
    <s v="Nona Balk"/>
    <x v="1"/>
    <s v="United States"/>
    <x v="13"/>
    <x v="7"/>
    <x v="2"/>
    <s v="FUR-TA-10001539"/>
    <s v="Furniture"/>
    <x v="2"/>
    <s v="Chromcraft Rectangular Conference Tables"/>
    <n v="142.18199999999999"/>
    <n v="1"/>
    <n v="-37.915199999999999"/>
    <x v="4"/>
    <x v="1"/>
  </r>
  <r>
    <x v="1286"/>
    <x v="83"/>
    <d v="2017-11-29T00:00:00"/>
    <x v="0"/>
    <s v="MN-17935"/>
    <s v="Michael Nguyen"/>
    <x v="0"/>
    <s v="United States"/>
    <x v="13"/>
    <x v="7"/>
    <x v="2"/>
    <s v="FUR-FU-10003623"/>
    <s v="Furniture"/>
    <x v="3"/>
    <s v="DataProducts Ampli Magnifier Task Lamp, Black,"/>
    <n v="135.30000000000001"/>
    <n v="5"/>
    <n v="37.884"/>
    <x v="0"/>
    <x v="0"/>
  </r>
  <r>
    <x v="1287"/>
    <x v="446"/>
    <d v="2017-12-08T00:00:00"/>
    <x v="2"/>
    <s v="CS-11950"/>
    <s v="Carlos Soltero"/>
    <x v="0"/>
    <s v="United States"/>
    <x v="13"/>
    <x v="7"/>
    <x v="2"/>
    <s v="FUR-FU-10001934"/>
    <s v="Furniture"/>
    <x v="3"/>
    <s v="Magnifier Swing Arm Lamp"/>
    <n v="41.96"/>
    <n v="2"/>
    <n v="10.909599999999999"/>
    <x v="0"/>
    <x v="5"/>
  </r>
  <r>
    <x v="1288"/>
    <x v="385"/>
    <d v="2014-03-24T00:00:00"/>
    <x v="1"/>
    <s v="SC-20050"/>
    <s v="Sample Company A"/>
    <x v="2"/>
    <s v="United States"/>
    <x v="323"/>
    <x v="2"/>
    <x v="1"/>
    <s v="FUR-FU-10004597"/>
    <s v="Furniture"/>
    <x v="3"/>
    <s v="Eldon Cleatmat Chair Mats for Medium Pile Carpets"/>
    <n v="111"/>
    <n v="2"/>
    <n v="14.43"/>
    <x v="6"/>
    <x v="9"/>
  </r>
  <r>
    <x v="1289"/>
    <x v="689"/>
    <d v="2016-11-13T00:00:00"/>
    <x v="2"/>
    <s v="SP-20650"/>
    <s v="Stephanie Phelps"/>
    <x v="1"/>
    <s v="United States"/>
    <x v="9"/>
    <x v="8"/>
    <x v="3"/>
    <s v="FUR-FU-10001037"/>
    <s v="Furniture"/>
    <x v="3"/>
    <s v="DAX Charcoal/Nickel-Tone Document Frame, 5 x 7"/>
    <n v="22.751999999999999"/>
    <n v="6"/>
    <n v="-8.532"/>
    <x v="5"/>
    <x v="0"/>
  </r>
  <r>
    <x v="1290"/>
    <x v="756"/>
    <d v="2015-04-17T00:00:00"/>
    <x v="1"/>
    <s v="PR-18880"/>
    <s v="Patrick Ryan"/>
    <x v="0"/>
    <s v="United States"/>
    <x v="26"/>
    <x v="1"/>
    <x v="0"/>
    <s v="FUR-FU-10001290"/>
    <s v="Furniture"/>
    <x v="3"/>
    <s v="Executive Impressions Supervisor Wall Clock"/>
    <n v="67.36"/>
    <n v="2"/>
    <n v="10.103999999999999"/>
    <x v="6"/>
    <x v="6"/>
  </r>
  <r>
    <x v="1290"/>
    <x v="756"/>
    <d v="2015-04-17T00:00:00"/>
    <x v="1"/>
    <s v="PR-18880"/>
    <s v="Patrick Ryan"/>
    <x v="0"/>
    <s v="United States"/>
    <x v="26"/>
    <x v="1"/>
    <x v="0"/>
    <s v="FUR-FU-10000087"/>
    <s v="Furniture"/>
    <x v="3"/>
    <s v="Executive Impressions 14&quot; Two-Color Numerals Wall Clock"/>
    <n v="54.527999999999999"/>
    <n v="3"/>
    <n v="14.313599999999999"/>
    <x v="6"/>
    <x v="6"/>
  </r>
  <r>
    <x v="1291"/>
    <x v="344"/>
    <d v="2015-12-30T00:00:00"/>
    <x v="1"/>
    <s v="JK-15625"/>
    <s v="Jim Karlsson"/>
    <x v="0"/>
    <s v="United States"/>
    <x v="13"/>
    <x v="7"/>
    <x v="2"/>
    <s v="FUR-BO-10002613"/>
    <s v="Furniture"/>
    <x v="0"/>
    <s v="Atlantic Metals Mobile 4-Shelf Bookcases, Custom Colors"/>
    <n v="449.56799999999998"/>
    <n v="2"/>
    <n v="56.195999999999998"/>
    <x v="2"/>
    <x v="5"/>
  </r>
  <r>
    <x v="1292"/>
    <x v="191"/>
    <d v="2014-12-23T00:00:00"/>
    <x v="0"/>
    <s v="SM-20950"/>
    <s v="Suzanne McNair"/>
    <x v="1"/>
    <s v="United States"/>
    <x v="13"/>
    <x v="7"/>
    <x v="2"/>
    <s v="FUR-CH-10004875"/>
    <s v="Furniture"/>
    <x v="1"/>
    <s v="Harbour Creations 67200 Series Stacking Chairs"/>
    <n v="192.18600000000001"/>
    <n v="3"/>
    <n v="36.3018"/>
    <x v="0"/>
    <x v="5"/>
  </r>
  <r>
    <x v="1293"/>
    <x v="503"/>
    <d v="2014-08-01T00:00:00"/>
    <x v="1"/>
    <s v="SG-20470"/>
    <s v="Sheri Gordon"/>
    <x v="0"/>
    <s v="United States"/>
    <x v="182"/>
    <x v="24"/>
    <x v="0"/>
    <s v="FUR-CH-10000553"/>
    <s v="Furniture"/>
    <x v="1"/>
    <s v="Metal Folding Chairs, Beige, 4/Carton"/>
    <n v="67.88"/>
    <n v="2"/>
    <n v="18.3276"/>
    <x v="6"/>
    <x v="3"/>
  </r>
  <r>
    <x v="1293"/>
    <x v="503"/>
    <d v="2014-08-01T00:00:00"/>
    <x v="1"/>
    <s v="SG-20470"/>
    <s v="Sheri Gordon"/>
    <x v="0"/>
    <s v="United States"/>
    <x v="182"/>
    <x v="24"/>
    <x v="0"/>
    <s v="FUR-FU-10000719"/>
    <s v="Furniture"/>
    <x v="3"/>
    <s v="DAX Cubicle Frames, 8-1/2 x 11"/>
    <n v="25.71"/>
    <n v="3"/>
    <n v="9.2555999999999994"/>
    <x v="6"/>
    <x v="3"/>
  </r>
  <r>
    <x v="1294"/>
    <x v="246"/>
    <d v="2017-12-17T00:00:00"/>
    <x v="1"/>
    <s v="DV-13045"/>
    <s v="Darrin Van Huff"/>
    <x v="1"/>
    <s v="United States"/>
    <x v="51"/>
    <x v="1"/>
    <x v="0"/>
    <s v="FUR-TA-10004289"/>
    <s v="Furniture"/>
    <x v="2"/>
    <s v="BoxOffice By Design Rectangular and Half-Moon Meeting Room Tables"/>
    <n v="721.875"/>
    <n v="6"/>
    <n v="-420"/>
    <x v="6"/>
    <x v="5"/>
  </r>
  <r>
    <x v="1294"/>
    <x v="246"/>
    <d v="2017-12-17T00:00:00"/>
    <x v="1"/>
    <s v="DV-13045"/>
    <s v="Darrin Van Huff"/>
    <x v="1"/>
    <s v="United States"/>
    <x v="51"/>
    <x v="1"/>
    <x v="0"/>
    <s v="FUR-CH-10000225"/>
    <s v="Furniture"/>
    <x v="1"/>
    <s v="Global Geo Office Task Chair, Gray"/>
    <n v="64.784000000000006"/>
    <n v="1"/>
    <n v="-12.147"/>
    <x v="6"/>
    <x v="5"/>
  </r>
  <r>
    <x v="1295"/>
    <x v="714"/>
    <d v="2016-10-14T00:00:00"/>
    <x v="1"/>
    <s v="MZ-17335"/>
    <s v="Maria Zettner"/>
    <x v="2"/>
    <s v="United States"/>
    <x v="43"/>
    <x v="22"/>
    <x v="1"/>
    <s v="FUR-FU-10001488"/>
    <s v="Furniture"/>
    <x v="3"/>
    <s v="Tenex 46&quot; x 60&quot; Computer Anti-Static Chairmat, Rectangular Shaped"/>
    <n v="169.56800000000001"/>
    <n v="2"/>
    <n v="0"/>
    <x v="2"/>
    <x v="1"/>
  </r>
  <r>
    <x v="1296"/>
    <x v="757"/>
    <d v="2015-01-03T00:00:00"/>
    <x v="0"/>
    <s v="AR-10345"/>
    <s v="Alex Russell"/>
    <x v="1"/>
    <s v="United States"/>
    <x v="3"/>
    <x v="3"/>
    <x v="2"/>
    <s v="FUR-TA-10004575"/>
    <s v="Furniture"/>
    <x v="2"/>
    <s v="Hon 5100 Series Wood Tables"/>
    <n v="523.76400000000001"/>
    <n v="3"/>
    <n v="-192.04679999999999"/>
    <x v="4"/>
    <x v="5"/>
  </r>
  <r>
    <x v="1297"/>
    <x v="188"/>
    <d v="2016-04-14T00:00:00"/>
    <x v="2"/>
    <s v="JF-15295"/>
    <s v="Jason Fortune-"/>
    <x v="0"/>
    <s v="United States"/>
    <x v="2"/>
    <x v="2"/>
    <x v="1"/>
    <s v="FUR-CH-10000225"/>
    <s v="Furniture"/>
    <x v="1"/>
    <s v="Global Geo Office Task Chair, Gray"/>
    <n v="194.352"/>
    <n v="3"/>
    <n v="-36.441000000000003"/>
    <x v="3"/>
    <x v="6"/>
  </r>
  <r>
    <x v="1298"/>
    <x v="597"/>
    <d v="2016-12-04T00:00:00"/>
    <x v="1"/>
    <s v="DS-13180"/>
    <s v="David Smith"/>
    <x v="1"/>
    <s v="United States"/>
    <x v="3"/>
    <x v="3"/>
    <x v="2"/>
    <s v="FUR-CH-10002647"/>
    <s v="Furniture"/>
    <x v="1"/>
    <s v="Situations Contoured Folding Chairs, 4/Set"/>
    <n v="347.80200000000002"/>
    <n v="7"/>
    <n v="-24.843"/>
    <x v="6"/>
    <x v="0"/>
  </r>
  <r>
    <x v="1299"/>
    <x v="758"/>
    <d v="2016-09-18T00:00:00"/>
    <x v="1"/>
    <s v="AG-10270"/>
    <s v="Alejandro Grove"/>
    <x v="0"/>
    <s v="United States"/>
    <x v="70"/>
    <x v="27"/>
    <x v="3"/>
    <s v="FUR-FU-10003664"/>
    <s v="Furniture"/>
    <x v="3"/>
    <s v="Electrix Architect's Clamp-On Swing Arm Lamp, Black"/>
    <n v="1336.44"/>
    <n v="14"/>
    <n v="387.56760000000003"/>
    <x v="2"/>
    <x v="4"/>
  </r>
  <r>
    <x v="1300"/>
    <x v="759"/>
    <d v="2017-12-03T00:00:00"/>
    <x v="1"/>
    <s v="TT-21070"/>
    <s v="Ted Trevino"/>
    <x v="0"/>
    <s v="United States"/>
    <x v="196"/>
    <x v="9"/>
    <x v="0"/>
    <s v="FUR-CH-10000454"/>
    <s v="Furniture"/>
    <x v="1"/>
    <s v="Hon Deluxe Fabric Upholstered Stacking Chairs, Rounded Back"/>
    <n v="390.36799999999999"/>
    <n v="2"/>
    <n v="48.795999999999999"/>
    <x v="4"/>
    <x v="0"/>
  </r>
  <r>
    <x v="1300"/>
    <x v="759"/>
    <d v="2017-12-03T00:00:00"/>
    <x v="1"/>
    <s v="TT-21070"/>
    <s v="Ted Trevino"/>
    <x v="0"/>
    <s v="United States"/>
    <x v="196"/>
    <x v="9"/>
    <x v="0"/>
    <s v="FUR-FU-10004017"/>
    <s v="Furniture"/>
    <x v="3"/>
    <s v="Executive Impressions 13&quot; Chairman Wall Clock"/>
    <n v="101.52"/>
    <n v="5"/>
    <n v="19.035"/>
    <x v="4"/>
    <x v="0"/>
  </r>
  <r>
    <x v="1301"/>
    <x v="683"/>
    <d v="2016-12-30T00:00:00"/>
    <x v="1"/>
    <s v="DB-12970"/>
    <s v="Darren Budd"/>
    <x v="1"/>
    <s v="United States"/>
    <x v="13"/>
    <x v="7"/>
    <x v="2"/>
    <s v="FUR-TA-10002958"/>
    <s v="Furniture"/>
    <x v="2"/>
    <s v="Bevis Oval Conference Table, Walnut"/>
    <n v="313.17599999999999"/>
    <n v="2"/>
    <n v="-120.0508"/>
    <x v="2"/>
    <x v="5"/>
  </r>
  <r>
    <x v="1301"/>
    <x v="683"/>
    <d v="2016-12-30T00:00:00"/>
    <x v="1"/>
    <s v="DB-12970"/>
    <s v="Darren Budd"/>
    <x v="1"/>
    <s v="United States"/>
    <x v="13"/>
    <x v="7"/>
    <x v="2"/>
    <s v="FUR-CH-10003746"/>
    <s v="Furniture"/>
    <x v="1"/>
    <s v="Hon 4070 Series Pagoda Round Back Stacking Chairs"/>
    <n v="866.64599999999996"/>
    <n v="3"/>
    <n v="173.32919999999999"/>
    <x v="2"/>
    <x v="5"/>
  </r>
  <r>
    <x v="1302"/>
    <x v="63"/>
    <d v="2016-09-13T00:00:00"/>
    <x v="1"/>
    <s v="TR-21325"/>
    <s v="Toby Ritter"/>
    <x v="0"/>
    <s v="United States"/>
    <x v="15"/>
    <x v="13"/>
    <x v="1"/>
    <s v="FUR-FU-10003039"/>
    <s v="Furniture"/>
    <x v="3"/>
    <s v="Howard Miller 11-1/2&quot; Diameter Grantwood Wall Clock"/>
    <n v="43.13"/>
    <n v="1"/>
    <n v="14.664199999999999"/>
    <x v="2"/>
    <x v="4"/>
  </r>
  <r>
    <x v="1303"/>
    <x v="760"/>
    <d v="2015-05-19T00:00:00"/>
    <x v="1"/>
    <s v="CB-12535"/>
    <s v="Claudia Bergmann"/>
    <x v="1"/>
    <s v="United States"/>
    <x v="324"/>
    <x v="2"/>
    <x v="1"/>
    <s v="FUR-BO-10004015"/>
    <s v="Furniture"/>
    <x v="0"/>
    <s v="Bush Andora Bookcase, Maple/Graphite Gray Finish"/>
    <n v="509.95749999999998"/>
    <n v="5"/>
    <n v="41.996499999999997"/>
    <x v="2"/>
    <x v="7"/>
  </r>
  <r>
    <x v="1303"/>
    <x v="760"/>
    <d v="2015-05-19T00:00:00"/>
    <x v="1"/>
    <s v="CB-12535"/>
    <s v="Claudia Bergmann"/>
    <x v="1"/>
    <s v="United States"/>
    <x v="324"/>
    <x v="2"/>
    <x v="1"/>
    <s v="FUR-FU-10001979"/>
    <s v="Furniture"/>
    <x v="3"/>
    <s v="Dana Halogen Swing-Arm Architect Lamp"/>
    <n v="122.91"/>
    <n v="3"/>
    <n v="34.4148"/>
    <x v="2"/>
    <x v="7"/>
  </r>
  <r>
    <x v="1303"/>
    <x v="760"/>
    <d v="2015-05-19T00:00:00"/>
    <x v="1"/>
    <s v="CB-12535"/>
    <s v="Claudia Bergmann"/>
    <x v="1"/>
    <s v="United States"/>
    <x v="324"/>
    <x v="2"/>
    <x v="1"/>
    <s v="FUR-CH-10003833"/>
    <s v="Furniture"/>
    <x v="1"/>
    <s v="Novimex Fabric Task Chair"/>
    <n v="97.567999999999998"/>
    <n v="2"/>
    <n v="-6.0979999999999999"/>
    <x v="2"/>
    <x v="7"/>
  </r>
  <r>
    <x v="1303"/>
    <x v="760"/>
    <d v="2015-05-19T00:00:00"/>
    <x v="1"/>
    <s v="CB-12535"/>
    <s v="Claudia Bergmann"/>
    <x v="1"/>
    <s v="United States"/>
    <x v="324"/>
    <x v="2"/>
    <x v="1"/>
    <s v="FUR-CH-10004495"/>
    <s v="Furniture"/>
    <x v="1"/>
    <s v="Global Leather and Oak Executive Chair, Black"/>
    <n v="722.35199999999998"/>
    <n v="3"/>
    <n v="81.264600000000002"/>
    <x v="2"/>
    <x v="7"/>
  </r>
  <r>
    <x v="1304"/>
    <x v="82"/>
    <d v="2016-06-06T00:00:00"/>
    <x v="1"/>
    <s v="JG-15310"/>
    <s v="Jason Gross"/>
    <x v="1"/>
    <s v="United States"/>
    <x v="2"/>
    <x v="2"/>
    <x v="1"/>
    <s v="FUR-FU-10003247"/>
    <s v="Furniture"/>
    <x v="3"/>
    <s v="36X48 HARDFLOOR CHAIRMAT"/>
    <n v="167.84"/>
    <n v="8"/>
    <n v="11.748799999999999"/>
    <x v="1"/>
    <x v="7"/>
  </r>
  <r>
    <x v="1305"/>
    <x v="676"/>
    <d v="2014-04-12T00:00:00"/>
    <x v="1"/>
    <s v="JS-15880"/>
    <s v="John Stevenson"/>
    <x v="0"/>
    <s v="United States"/>
    <x v="219"/>
    <x v="15"/>
    <x v="2"/>
    <s v="FUR-TA-10004442"/>
    <s v="Furniture"/>
    <x v="2"/>
    <s v="Riverside Furniture Stanwyck Manor Table Series"/>
    <n v="172.11"/>
    <n v="1"/>
    <n v="-94.660499999999999"/>
    <x v="4"/>
    <x v="6"/>
  </r>
  <r>
    <x v="1306"/>
    <x v="703"/>
    <d v="2017-06-03T00:00:00"/>
    <x v="1"/>
    <s v="MG-17890"/>
    <s v="Michael Granlund"/>
    <x v="2"/>
    <s v="United States"/>
    <x v="325"/>
    <x v="36"/>
    <x v="1"/>
    <s v="FUR-FU-10000820"/>
    <s v="Furniture"/>
    <x v="3"/>
    <s v="Tensor Brushed Steel Torchiere Floor Lamp"/>
    <n v="13.592000000000001"/>
    <n v="1"/>
    <n v="-0.33979999999999999"/>
    <x v="4"/>
    <x v="7"/>
  </r>
  <r>
    <x v="1307"/>
    <x v="345"/>
    <d v="2016-03-15T00:00:00"/>
    <x v="0"/>
    <s v="SC-20770"/>
    <s v="Stewart Carmichael"/>
    <x v="1"/>
    <s v="United States"/>
    <x v="3"/>
    <x v="3"/>
    <x v="2"/>
    <s v="FUR-CH-10004287"/>
    <s v="Furniture"/>
    <x v="1"/>
    <s v="SAFCO Arco Folding Chair"/>
    <n v="386.68"/>
    <n v="2"/>
    <n v="-5.524"/>
    <x v="3"/>
    <x v="9"/>
  </r>
  <r>
    <x v="1308"/>
    <x v="662"/>
    <d v="2017-04-14T00:00:00"/>
    <x v="1"/>
    <s v="BS-11755"/>
    <s v="Bruce Stewart"/>
    <x v="0"/>
    <s v="United States"/>
    <x v="3"/>
    <x v="3"/>
    <x v="2"/>
    <s v="FUR-FU-10003878"/>
    <s v="Furniture"/>
    <x v="3"/>
    <s v="Linden 10&quot; Round Wall Clock, Black"/>
    <n v="36.671999999999997"/>
    <n v="3"/>
    <n v="6.4176000000000002"/>
    <x v="4"/>
    <x v="6"/>
  </r>
  <r>
    <x v="1309"/>
    <x v="324"/>
    <d v="2016-06-27T00:00:00"/>
    <x v="0"/>
    <s v="LC-17140"/>
    <s v="Logan Currie"/>
    <x v="0"/>
    <s v="United States"/>
    <x v="6"/>
    <x v="5"/>
    <x v="3"/>
    <s v="FUR-CH-10001146"/>
    <s v="Furniture"/>
    <x v="1"/>
    <s v="Global Value Mid-Back Manager's Chair, Gray"/>
    <n v="85.245999999999995"/>
    <n v="2"/>
    <n v="-6.0890000000000004"/>
    <x v="3"/>
    <x v="2"/>
  </r>
  <r>
    <x v="1309"/>
    <x v="324"/>
    <d v="2016-06-27T00:00:00"/>
    <x v="0"/>
    <s v="LC-17140"/>
    <s v="Logan Currie"/>
    <x v="0"/>
    <s v="United States"/>
    <x v="6"/>
    <x v="5"/>
    <x v="3"/>
    <s v="FUR-FU-10003919"/>
    <s v="Furniture"/>
    <x v="3"/>
    <s v="Eldon Executive Woodline II Cherry Finish Desk Accessories"/>
    <n v="32.712000000000003"/>
    <n v="2"/>
    <n v="-26.169599999999999"/>
    <x v="3"/>
    <x v="2"/>
  </r>
  <r>
    <x v="1310"/>
    <x v="257"/>
    <d v="2015-03-27T00:00:00"/>
    <x v="0"/>
    <s v="CP-12085"/>
    <s v="Cathy Prescott"/>
    <x v="1"/>
    <s v="United States"/>
    <x v="326"/>
    <x v="13"/>
    <x v="1"/>
    <s v="FUR-FU-10003832"/>
    <s v="Furniture"/>
    <x v="3"/>
    <s v="Eldon Expressions Punched Metal &amp; Wood Desk Accessories, Black &amp; Cherry"/>
    <n v="46.9"/>
    <n v="5"/>
    <n v="13.132"/>
    <x v="0"/>
    <x v="9"/>
  </r>
  <r>
    <x v="1311"/>
    <x v="113"/>
    <d v="2017-09-06T00:00:00"/>
    <x v="1"/>
    <s v="JL-15235"/>
    <s v="Janet Lee"/>
    <x v="0"/>
    <s v="United States"/>
    <x v="2"/>
    <x v="2"/>
    <x v="1"/>
    <s v="FUR-TA-10004607"/>
    <s v="Furniture"/>
    <x v="2"/>
    <s v="Hon 2111 Invitation Series Straight Table"/>
    <n v="236.52799999999999"/>
    <n v="2"/>
    <n v="-2.9565999999999999"/>
    <x v="4"/>
    <x v="4"/>
  </r>
  <r>
    <x v="1312"/>
    <x v="761"/>
    <d v="2017-02-07T00:00:00"/>
    <x v="0"/>
    <s v="RD-19810"/>
    <s v="Ross DeVincentis"/>
    <x v="2"/>
    <s v="United States"/>
    <x v="9"/>
    <x v="8"/>
    <x v="3"/>
    <s v="FUR-FU-10004597"/>
    <s v="Furniture"/>
    <x v="3"/>
    <s v="Eldon Cleatmat Chair Mats for Medium Pile Carpets"/>
    <n v="22.2"/>
    <n v="1"/>
    <n v="-26.085000000000001"/>
    <x v="4"/>
    <x v="11"/>
  </r>
  <r>
    <x v="1313"/>
    <x v="762"/>
    <d v="2017-11-14T00:00:00"/>
    <x v="2"/>
    <s v="MH-18025"/>
    <s v="Michelle Huthwaite"/>
    <x v="0"/>
    <s v="United States"/>
    <x v="270"/>
    <x v="9"/>
    <x v="0"/>
    <s v="FUR-FU-10004090"/>
    <s v="Furniture"/>
    <x v="3"/>
    <s v="Executive Impressions 14&quot; Contract Wall Clock"/>
    <n v="88.92"/>
    <n v="5"/>
    <n v="14.4495"/>
    <x v="0"/>
    <x v="0"/>
  </r>
  <r>
    <x v="1314"/>
    <x v="342"/>
    <d v="2017-09-22T00:00:00"/>
    <x v="0"/>
    <s v="SJ-20125"/>
    <s v="Sanjit Jacobs"/>
    <x v="2"/>
    <s v="United States"/>
    <x v="6"/>
    <x v="5"/>
    <x v="3"/>
    <s v="FUR-CH-10003774"/>
    <s v="Furniture"/>
    <x v="1"/>
    <s v="Global Wood Trimmed Manager's Task Chair, Khaki"/>
    <n v="318.43"/>
    <n v="5"/>
    <n v="-77.332999999999998"/>
    <x v="2"/>
    <x v="4"/>
  </r>
  <r>
    <x v="1315"/>
    <x v="763"/>
    <d v="2015-04-18T00:00:00"/>
    <x v="2"/>
    <s v="LL-16840"/>
    <s v="Lauren Leatherbury"/>
    <x v="0"/>
    <s v="United States"/>
    <x v="61"/>
    <x v="25"/>
    <x v="0"/>
    <s v="FUR-FU-10001468"/>
    <s v="Furniture"/>
    <x v="3"/>
    <s v="Tenex Antistatic Computer Chair Mats"/>
    <n v="1196.8599999999999"/>
    <n v="7"/>
    <n v="119.68600000000001"/>
    <x v="3"/>
    <x v="6"/>
  </r>
  <r>
    <x v="1315"/>
    <x v="763"/>
    <d v="2015-04-18T00:00:00"/>
    <x v="2"/>
    <s v="LL-16840"/>
    <s v="Lauren Leatherbury"/>
    <x v="0"/>
    <s v="United States"/>
    <x v="61"/>
    <x v="25"/>
    <x v="0"/>
    <s v="FUR-BO-10001519"/>
    <s v="Furniture"/>
    <x v="0"/>
    <s v="O'Sullivan 3-Shelf Heavy-Duty Bookcases"/>
    <n v="523.26"/>
    <n v="9"/>
    <n v="125.58240000000001"/>
    <x v="3"/>
    <x v="6"/>
  </r>
  <r>
    <x v="1316"/>
    <x v="762"/>
    <d v="2017-11-15T00:00:00"/>
    <x v="0"/>
    <s v="TB-21190"/>
    <s v="Thomas Brumley"/>
    <x v="2"/>
    <s v="United States"/>
    <x v="2"/>
    <x v="2"/>
    <x v="1"/>
    <s v="FUR-FU-10001424"/>
    <s v="Furniture"/>
    <x v="3"/>
    <s v="Dax Clear Box Frame"/>
    <n v="34.92"/>
    <n v="4"/>
    <n v="11.8728"/>
    <x v="4"/>
    <x v="0"/>
  </r>
  <r>
    <x v="1317"/>
    <x v="712"/>
    <d v="2014-09-20T00:00:00"/>
    <x v="1"/>
    <s v="AA-10315"/>
    <s v="Alex Avila"/>
    <x v="0"/>
    <s v="United States"/>
    <x v="13"/>
    <x v="7"/>
    <x v="2"/>
    <s v="FUR-FU-10002456"/>
    <s v="Furniture"/>
    <x v="3"/>
    <s v="Master Caster Door Stop, Large Neon Orange"/>
    <n v="14.56"/>
    <n v="2"/>
    <n v="6.2607999999999997"/>
    <x v="2"/>
    <x v="4"/>
  </r>
  <r>
    <x v="1318"/>
    <x v="764"/>
    <d v="2014-01-10T00:00:00"/>
    <x v="1"/>
    <s v="ME-17320"/>
    <s v="Maria Etezadi"/>
    <x v="2"/>
    <s v="United States"/>
    <x v="0"/>
    <x v="0"/>
    <x v="0"/>
    <s v="FUR-CH-10004063"/>
    <s v="Furniture"/>
    <x v="1"/>
    <s v="Global Deluxe High-Back Manager's Chair"/>
    <n v="2573.8200000000002"/>
    <n v="9"/>
    <n v="746.40779999999995"/>
    <x v="4"/>
    <x v="8"/>
  </r>
  <r>
    <x v="1319"/>
    <x v="256"/>
    <d v="2014-12-17T00:00:00"/>
    <x v="0"/>
    <s v="EB-13705"/>
    <s v="Ed Braxton"/>
    <x v="1"/>
    <s v="United States"/>
    <x v="3"/>
    <x v="3"/>
    <x v="2"/>
    <s v="FUR-CH-10003774"/>
    <s v="Furniture"/>
    <x v="1"/>
    <s v="Global Wood Trimmed Manager's Task Chair, Khaki"/>
    <n v="445.80200000000002"/>
    <n v="7"/>
    <n v="-108.2662"/>
    <x v="3"/>
    <x v="5"/>
  </r>
  <r>
    <x v="1320"/>
    <x v="765"/>
    <d v="2015-12-24T00:00:00"/>
    <x v="0"/>
    <s v="PM-19135"/>
    <s v="Peter McVee"/>
    <x v="2"/>
    <s v="United States"/>
    <x v="63"/>
    <x v="28"/>
    <x v="2"/>
    <s v="FUR-TA-10003473"/>
    <s v="Furniture"/>
    <x v="2"/>
    <s v="Bretford Rectangular Conference Table Tops"/>
    <n v="1053.164"/>
    <n v="4"/>
    <n v="-105.3164"/>
    <x v="2"/>
    <x v="5"/>
  </r>
  <r>
    <x v="1321"/>
    <x v="468"/>
    <d v="2015-09-16T00:00:00"/>
    <x v="1"/>
    <s v="FA-14230"/>
    <s v="Frank Atkinson"/>
    <x v="1"/>
    <s v="United States"/>
    <x v="2"/>
    <x v="2"/>
    <x v="1"/>
    <s v="FUR-FU-10003799"/>
    <s v="Furniture"/>
    <x v="3"/>
    <s v="Seth Thomas 13 1/2&quot; Wall Clock"/>
    <n v="106.68"/>
    <n v="6"/>
    <n v="33.070799999999998"/>
    <x v="6"/>
    <x v="4"/>
  </r>
  <r>
    <x v="1322"/>
    <x v="91"/>
    <d v="2017-09-16T00:00:00"/>
    <x v="1"/>
    <s v="CC-12475"/>
    <s v="Cindy Chapman"/>
    <x v="0"/>
    <s v="United States"/>
    <x v="6"/>
    <x v="5"/>
    <x v="3"/>
    <s v="FUR-TA-10002855"/>
    <s v="Furniture"/>
    <x v="2"/>
    <s v="Bevis Round Conference Table Top &amp; Single Column Base"/>
    <n v="512.19000000000005"/>
    <n v="5"/>
    <n v="-65.852999999999994"/>
    <x v="2"/>
    <x v="4"/>
  </r>
  <r>
    <x v="1323"/>
    <x v="766"/>
    <d v="2017-07-18T00:00:00"/>
    <x v="1"/>
    <s v="TC-21295"/>
    <s v="Toby Carlisle"/>
    <x v="0"/>
    <s v="United States"/>
    <x v="327"/>
    <x v="2"/>
    <x v="1"/>
    <s v="FUR-FU-10003601"/>
    <s v="Furniture"/>
    <x v="3"/>
    <s v="Deflect-o RollaMat Studded, Beveled Mat for Medium Pile Carpeting"/>
    <n v="276.69"/>
    <n v="3"/>
    <n v="49.804200000000002"/>
    <x v="4"/>
    <x v="3"/>
  </r>
  <r>
    <x v="1323"/>
    <x v="766"/>
    <d v="2017-07-18T00:00:00"/>
    <x v="1"/>
    <s v="TC-21295"/>
    <s v="Toby Carlisle"/>
    <x v="0"/>
    <s v="United States"/>
    <x v="327"/>
    <x v="2"/>
    <x v="1"/>
    <s v="FUR-FU-10002960"/>
    <s v="Furniture"/>
    <x v="3"/>
    <s v="Eldon 200 Class Desk Accessories, Burgundy"/>
    <n v="18.84"/>
    <n v="3"/>
    <n v="7.9127999999999998"/>
    <x v="4"/>
    <x v="3"/>
  </r>
  <r>
    <x v="1324"/>
    <x v="766"/>
    <d v="2017-07-18T00:00:00"/>
    <x v="1"/>
    <s v="JL-15835"/>
    <s v="John Lee"/>
    <x v="0"/>
    <s v="United States"/>
    <x v="29"/>
    <x v="15"/>
    <x v="2"/>
    <s v="FUR-FU-10002937"/>
    <s v="Furniture"/>
    <x v="3"/>
    <s v="GE 48&quot; Fluorescent Tube, Cool White Energy Saver, 34 Watts, 30/Box"/>
    <n v="396.92"/>
    <n v="5"/>
    <n v="148.845"/>
    <x v="4"/>
    <x v="3"/>
  </r>
  <r>
    <x v="1325"/>
    <x v="26"/>
    <d v="2016-09-11T00:00:00"/>
    <x v="1"/>
    <s v="MD-17350"/>
    <s v="Maribeth Dona"/>
    <x v="0"/>
    <s v="United States"/>
    <x v="68"/>
    <x v="15"/>
    <x v="2"/>
    <s v="FUR-CH-10004477"/>
    <s v="Furniture"/>
    <x v="1"/>
    <s v="Global Push Button Manager's Chair, Indigo"/>
    <n v="85.245999999999995"/>
    <n v="2"/>
    <n v="-1.2178"/>
    <x v="6"/>
    <x v="4"/>
  </r>
  <r>
    <x v="1326"/>
    <x v="767"/>
    <d v="2014-09-16T00:00:00"/>
    <x v="1"/>
    <s v="CL-12565"/>
    <s v="Clay Ludtke"/>
    <x v="0"/>
    <s v="United States"/>
    <x v="195"/>
    <x v="36"/>
    <x v="1"/>
    <s v="FUR-CH-10003973"/>
    <s v="Furniture"/>
    <x v="1"/>
    <s v="GuestStacker Chair with Chrome Finish Legs"/>
    <n v="1487.04"/>
    <n v="5"/>
    <n v="148.70400000000001"/>
    <x v="6"/>
    <x v="4"/>
  </r>
  <r>
    <x v="1327"/>
    <x v="572"/>
    <d v="2017-09-26T00:00:00"/>
    <x v="3"/>
    <s v="RA-19885"/>
    <s v="Ruben Ausman"/>
    <x v="1"/>
    <s v="United States"/>
    <x v="28"/>
    <x v="2"/>
    <x v="1"/>
    <s v="FUR-FU-10003829"/>
    <s v="Furniture"/>
    <x v="3"/>
    <s v="Stackable Trays"/>
    <n v="9.24"/>
    <n v="3"/>
    <n v="2.9567999999999999"/>
    <x v="7"/>
    <x v="4"/>
  </r>
  <r>
    <x v="1328"/>
    <x v="9"/>
    <d v="2016-06-19T00:00:00"/>
    <x v="2"/>
    <s v="LC-16885"/>
    <s v="Lena Creighton"/>
    <x v="0"/>
    <s v="United States"/>
    <x v="328"/>
    <x v="12"/>
    <x v="1"/>
    <s v="FUR-FU-10002298"/>
    <s v="Furniture"/>
    <x v="3"/>
    <s v="Rubbermaid ClusterMat Chairmats, Mat Size- 66&quot; x 60&quot;, Lip 20&quot; x 11&quot; -90 Degree Angle"/>
    <n v="266.35199999999998"/>
    <n v="3"/>
    <n v="-13.317600000000001"/>
    <x v="3"/>
    <x v="2"/>
  </r>
  <r>
    <x v="1328"/>
    <x v="9"/>
    <d v="2016-06-19T00:00:00"/>
    <x v="2"/>
    <s v="LC-16885"/>
    <s v="Lena Creighton"/>
    <x v="0"/>
    <s v="United States"/>
    <x v="328"/>
    <x v="12"/>
    <x v="1"/>
    <s v="FUR-CH-10004853"/>
    <s v="Furniture"/>
    <x v="1"/>
    <s v="Global Manager's Adjustable Task Chair, Storm"/>
    <n v="483.13600000000002"/>
    <n v="4"/>
    <n v="54.352800000000002"/>
    <x v="3"/>
    <x v="2"/>
  </r>
  <r>
    <x v="1329"/>
    <x v="768"/>
    <d v="2017-03-01T00:00:00"/>
    <x v="1"/>
    <s v="SW-20245"/>
    <s v="Scot Wooten"/>
    <x v="0"/>
    <s v="United States"/>
    <x v="329"/>
    <x v="30"/>
    <x v="0"/>
    <s v="FUR-CH-10002880"/>
    <s v="Furniture"/>
    <x v="1"/>
    <s v="Global High-Back Leather Tilter, Burgundy"/>
    <n v="196.78399999999999"/>
    <n v="2"/>
    <n v="-22.138200000000001"/>
    <x v="4"/>
    <x v="11"/>
  </r>
  <r>
    <x v="1329"/>
    <x v="768"/>
    <d v="2017-03-01T00:00:00"/>
    <x v="1"/>
    <s v="SW-20245"/>
    <s v="Scot Wooten"/>
    <x v="0"/>
    <s v="United States"/>
    <x v="329"/>
    <x v="30"/>
    <x v="0"/>
    <s v="FUR-BO-10004709"/>
    <s v="Furniture"/>
    <x v="0"/>
    <s v="Bush Westfield Collection Bookcases, Medium Cherry Finish"/>
    <n v="231.92"/>
    <n v="5"/>
    <n v="5.798"/>
    <x v="4"/>
    <x v="11"/>
  </r>
  <r>
    <x v="1330"/>
    <x v="587"/>
    <d v="2017-12-08T00:00:00"/>
    <x v="1"/>
    <s v="MV-17485"/>
    <s v="Mark Van Huff"/>
    <x v="0"/>
    <s v="United States"/>
    <x v="6"/>
    <x v="5"/>
    <x v="3"/>
    <s v="FUR-FU-10000820"/>
    <s v="Furniture"/>
    <x v="3"/>
    <s v="Tensor Brushed Steel Torchiere Floor Lamp"/>
    <n v="13.592000000000001"/>
    <n v="2"/>
    <n v="-14.271599999999999"/>
    <x v="2"/>
    <x v="5"/>
  </r>
  <r>
    <x v="1331"/>
    <x v="308"/>
    <d v="2017-12-06T00:00:00"/>
    <x v="1"/>
    <s v="BS-11380"/>
    <s v="Bill Stewart"/>
    <x v="1"/>
    <s v="United States"/>
    <x v="22"/>
    <x v="12"/>
    <x v="1"/>
    <s v="FUR-BO-10003546"/>
    <s v="Furniture"/>
    <x v="0"/>
    <s v="Hon 4-Shelf Metal Bookcases"/>
    <n v="242.352"/>
    <n v="8"/>
    <n v="-363.52800000000002"/>
    <x v="4"/>
    <x v="5"/>
  </r>
  <r>
    <x v="1331"/>
    <x v="308"/>
    <d v="2017-12-06T00:00:00"/>
    <x v="1"/>
    <s v="BS-11380"/>
    <s v="Bill Stewart"/>
    <x v="1"/>
    <s v="United States"/>
    <x v="22"/>
    <x v="12"/>
    <x v="1"/>
    <s v="FUR-FU-10001488"/>
    <s v="Furniture"/>
    <x v="3"/>
    <s v="Tenex 46&quot; x 60&quot; Computer Anti-Static Chairmat, Rectangular Shaped"/>
    <n v="508.70400000000001"/>
    <n v="6"/>
    <n v="0"/>
    <x v="4"/>
    <x v="5"/>
  </r>
  <r>
    <x v="1331"/>
    <x v="308"/>
    <d v="2017-12-06T00:00:00"/>
    <x v="1"/>
    <s v="BS-11380"/>
    <s v="Bill Stewart"/>
    <x v="1"/>
    <s v="United States"/>
    <x v="22"/>
    <x v="12"/>
    <x v="1"/>
    <s v="FUR-CH-10002335"/>
    <s v="Furniture"/>
    <x v="1"/>
    <s v="Hon GuestStacker Chair"/>
    <n v="906.68"/>
    <n v="5"/>
    <n v="68.001000000000005"/>
    <x v="4"/>
    <x v="5"/>
  </r>
  <r>
    <x v="1332"/>
    <x v="26"/>
    <d v="2016-09-07T00:00:00"/>
    <x v="2"/>
    <s v="EM-13825"/>
    <s v="Elizabeth Moffitt"/>
    <x v="1"/>
    <s v="United States"/>
    <x v="6"/>
    <x v="5"/>
    <x v="3"/>
    <s v="FUR-FU-10004671"/>
    <s v="Furniture"/>
    <x v="3"/>
    <s v="Executive Impressions 12&quot; Wall Clock"/>
    <n v="21.204000000000001"/>
    <n v="3"/>
    <n v="-11.6622"/>
    <x v="3"/>
    <x v="4"/>
  </r>
  <r>
    <x v="1333"/>
    <x v="769"/>
    <d v="2014-05-14T00:00:00"/>
    <x v="0"/>
    <s v="AF-10885"/>
    <s v="Art Foster"/>
    <x v="0"/>
    <s v="United States"/>
    <x v="3"/>
    <x v="3"/>
    <x v="2"/>
    <s v="FUR-BO-10004467"/>
    <s v="Furniture"/>
    <x v="0"/>
    <s v="Bestar Classic Bookcase"/>
    <n v="349.96499999999997"/>
    <n v="7"/>
    <n v="-216.97829999999999"/>
    <x v="4"/>
    <x v="7"/>
  </r>
  <r>
    <x v="1334"/>
    <x v="770"/>
    <d v="2014-11-05T00:00:00"/>
    <x v="1"/>
    <s v="DL-12925"/>
    <s v="Daniel Lacy"/>
    <x v="0"/>
    <s v="United States"/>
    <x v="62"/>
    <x v="7"/>
    <x v="2"/>
    <s v="FUR-FU-10003142"/>
    <s v="Furniture"/>
    <x v="3"/>
    <s v="Master Big Foot Doorstop, Beige"/>
    <n v="31.68"/>
    <n v="6"/>
    <n v="9.8208000000000002"/>
    <x v="4"/>
    <x v="0"/>
  </r>
  <r>
    <x v="1335"/>
    <x v="771"/>
    <d v="2017-01-01T00:00:00"/>
    <x v="2"/>
    <s v="BD-11605"/>
    <s v="Brian Dahlen"/>
    <x v="0"/>
    <s v="United States"/>
    <x v="68"/>
    <x v="3"/>
    <x v="2"/>
    <s v="FUR-CH-10000454"/>
    <s v="Furniture"/>
    <x v="1"/>
    <s v="Hon Deluxe Fabric Upholstered Stacking Chairs, Rounded Back"/>
    <n v="170.786"/>
    <n v="1"/>
    <n v="0"/>
    <x v="3"/>
    <x v="5"/>
  </r>
  <r>
    <x v="1336"/>
    <x v="222"/>
    <d v="2016-09-07T00:00:00"/>
    <x v="1"/>
    <s v="RB-19570"/>
    <s v="Rob Beeghly"/>
    <x v="0"/>
    <s v="United States"/>
    <x v="9"/>
    <x v="8"/>
    <x v="3"/>
    <s v="FUR-BO-10003894"/>
    <s v="Furniture"/>
    <x v="0"/>
    <s v="Safco Value Mate Steel Bookcase, Baked Enamel Finish on Steel, Black"/>
    <n v="198.744"/>
    <n v="4"/>
    <n v="0"/>
    <x v="4"/>
    <x v="4"/>
  </r>
  <r>
    <x v="1337"/>
    <x v="772"/>
    <d v="2016-02-01T00:00:00"/>
    <x v="0"/>
    <s v="TB-21250"/>
    <s v="Tim Brockman"/>
    <x v="0"/>
    <s v="United States"/>
    <x v="15"/>
    <x v="13"/>
    <x v="1"/>
    <s v="FUR-CH-10001190"/>
    <s v="Furniture"/>
    <x v="1"/>
    <s v="Global Deluxe High-Back Office Chair in Storm"/>
    <n v="435.16800000000001"/>
    <n v="4"/>
    <n v="-59.835599999999999"/>
    <x v="3"/>
    <x v="8"/>
  </r>
  <r>
    <x v="1337"/>
    <x v="772"/>
    <d v="2016-02-01T00:00:00"/>
    <x v="0"/>
    <s v="TB-21250"/>
    <s v="Tim Brockman"/>
    <x v="0"/>
    <s v="United States"/>
    <x v="15"/>
    <x v="13"/>
    <x v="1"/>
    <s v="FUR-BO-10000468"/>
    <s v="Furniture"/>
    <x v="0"/>
    <s v="O'Sullivan 2-Shelf Heavy-Duty Bookcases"/>
    <n v="48.58"/>
    <n v="1"/>
    <n v="7.7728000000000002"/>
    <x v="3"/>
    <x v="8"/>
  </r>
  <r>
    <x v="1338"/>
    <x v="299"/>
    <d v="2014-10-26T00:00:00"/>
    <x v="1"/>
    <s v="FH-14275"/>
    <s v="Frank Hawley"/>
    <x v="1"/>
    <s v="United States"/>
    <x v="330"/>
    <x v="25"/>
    <x v="0"/>
    <s v="FUR-TA-10004607"/>
    <s v="Furniture"/>
    <x v="2"/>
    <s v="Hon 2111 Invitation Series Straight Table"/>
    <n v="591.32000000000005"/>
    <n v="4"/>
    <n v="112.35080000000001"/>
    <x v="2"/>
    <x v="1"/>
  </r>
  <r>
    <x v="1339"/>
    <x v="105"/>
    <d v="2016-12-21T00:00:00"/>
    <x v="2"/>
    <s v="PN-18775"/>
    <s v="Parhena Norris"/>
    <x v="2"/>
    <s v="United States"/>
    <x v="70"/>
    <x v="27"/>
    <x v="3"/>
    <s v="FUR-CH-10004997"/>
    <s v="Furniture"/>
    <x v="1"/>
    <s v="Hon Every-Day Series Multi-Task Chairs"/>
    <n v="563.94000000000005"/>
    <n v="3"/>
    <n v="112.788"/>
    <x v="0"/>
    <x v="5"/>
  </r>
  <r>
    <x v="1340"/>
    <x v="763"/>
    <d v="2015-04-21T00:00:00"/>
    <x v="1"/>
    <s v="DM-13345"/>
    <s v="Denise Monton"/>
    <x v="1"/>
    <s v="United States"/>
    <x v="13"/>
    <x v="7"/>
    <x v="2"/>
    <s v="FUR-CH-10003968"/>
    <s v="Furniture"/>
    <x v="1"/>
    <s v="Novimex Turbo Task Chair"/>
    <n v="127.764"/>
    <n v="2"/>
    <n v="2.8391999999999999"/>
    <x v="2"/>
    <x v="6"/>
  </r>
  <r>
    <x v="1341"/>
    <x v="716"/>
    <d v="2017-11-22T00:00:00"/>
    <x v="1"/>
    <s v="MB-18085"/>
    <s v="Mick Brown"/>
    <x v="0"/>
    <s v="United States"/>
    <x v="18"/>
    <x v="2"/>
    <x v="1"/>
    <s v="FUR-FU-10001196"/>
    <s v="Furniture"/>
    <x v="3"/>
    <s v="DAX Cubicle Frames - 8x10"/>
    <n v="17.309999999999999"/>
    <n v="3"/>
    <n v="5.1929999999999996"/>
    <x v="6"/>
    <x v="0"/>
  </r>
  <r>
    <x v="1342"/>
    <x v="26"/>
    <d v="2016-09-09T00:00:00"/>
    <x v="1"/>
    <s v="DB-13210"/>
    <s v="Dean Braden"/>
    <x v="0"/>
    <s v="United States"/>
    <x v="3"/>
    <x v="3"/>
    <x v="2"/>
    <s v="FUR-FU-10000260"/>
    <s v="Furniture"/>
    <x v="3"/>
    <s v="6&quot; Cubicle Wall Clock, Black"/>
    <n v="58.247999999999998"/>
    <n v="9"/>
    <n v="11.6496"/>
    <x v="4"/>
    <x v="4"/>
  </r>
  <r>
    <x v="1342"/>
    <x v="26"/>
    <d v="2016-09-09T00:00:00"/>
    <x v="1"/>
    <s v="DB-13210"/>
    <s v="Dean Braden"/>
    <x v="0"/>
    <s v="United States"/>
    <x v="3"/>
    <x v="3"/>
    <x v="2"/>
    <s v="FUR-CH-10001146"/>
    <s v="Furniture"/>
    <x v="1"/>
    <s v="Global Task Chair, Black"/>
    <n v="71.245999999999995"/>
    <n v="2"/>
    <n v="-19.338200000000001"/>
    <x v="4"/>
    <x v="4"/>
  </r>
  <r>
    <x v="1342"/>
    <x v="26"/>
    <d v="2016-09-09T00:00:00"/>
    <x v="1"/>
    <s v="DB-13210"/>
    <s v="Dean Braden"/>
    <x v="0"/>
    <s v="United States"/>
    <x v="3"/>
    <x v="3"/>
    <x v="2"/>
    <s v="FUR-CH-10000309"/>
    <s v="Furniture"/>
    <x v="1"/>
    <s v="Global Comet Stacking Arm Chair"/>
    <n v="887.27099999999996"/>
    <n v="3"/>
    <n v="-63.3765"/>
    <x v="4"/>
    <x v="4"/>
  </r>
  <r>
    <x v="1343"/>
    <x v="614"/>
    <d v="2016-05-31T00:00:00"/>
    <x v="1"/>
    <s v="BS-11665"/>
    <s v="Brian Stugart"/>
    <x v="0"/>
    <s v="United States"/>
    <x v="9"/>
    <x v="8"/>
    <x v="3"/>
    <s v="FUR-FU-10003247"/>
    <s v="Furniture"/>
    <x v="3"/>
    <s v="36X48 HARDFLOOR CHAIRMAT"/>
    <n v="25.175999999999998"/>
    <n v="3"/>
    <n v="-33.358199999999997"/>
    <x v="4"/>
    <x v="7"/>
  </r>
  <r>
    <x v="1343"/>
    <x v="614"/>
    <d v="2016-05-31T00:00:00"/>
    <x v="1"/>
    <s v="BS-11665"/>
    <s v="Brian Stugart"/>
    <x v="0"/>
    <s v="United States"/>
    <x v="9"/>
    <x v="8"/>
    <x v="3"/>
    <s v="FUR-FU-10002191"/>
    <s v="Furniture"/>
    <x v="3"/>
    <s v="G.E. Halogen Desk Lamp Bulbs"/>
    <n v="5.5839999999999996"/>
    <n v="2"/>
    <n v="-1.6752"/>
    <x v="4"/>
    <x v="7"/>
  </r>
  <r>
    <x v="1344"/>
    <x v="108"/>
    <d v="2015-08-28T00:00:00"/>
    <x v="0"/>
    <s v="SC-20380"/>
    <s v="Shahid Collister"/>
    <x v="0"/>
    <s v="United States"/>
    <x v="13"/>
    <x v="7"/>
    <x v="2"/>
    <s v="FUR-FU-10000010"/>
    <s v="Furniture"/>
    <x v="3"/>
    <s v="DAX Value U-Channel Document Frames, Easel Back"/>
    <n v="14.91"/>
    <n v="3"/>
    <n v="4.6220999999999997"/>
    <x v="4"/>
    <x v="10"/>
  </r>
  <r>
    <x v="1345"/>
    <x v="526"/>
    <d v="2017-10-29T00:00:00"/>
    <x v="2"/>
    <s v="JM-15655"/>
    <s v="Jim Mitchum"/>
    <x v="1"/>
    <s v="United States"/>
    <x v="2"/>
    <x v="2"/>
    <x v="1"/>
    <s v="FUR-TA-10001539"/>
    <s v="Furniture"/>
    <x v="2"/>
    <s v="Chromcraft Rectangular Conference Tables"/>
    <n v="189.57599999999999"/>
    <n v="1"/>
    <n v="9.4787999999999997"/>
    <x v="3"/>
    <x v="1"/>
  </r>
  <r>
    <x v="1346"/>
    <x v="306"/>
    <d v="2014-11-29T00:00:00"/>
    <x v="1"/>
    <s v="RB-19435"/>
    <s v="Richard Bierner"/>
    <x v="0"/>
    <s v="United States"/>
    <x v="2"/>
    <x v="2"/>
    <x v="1"/>
    <s v="FUR-CH-10002335"/>
    <s v="Furniture"/>
    <x v="1"/>
    <s v="Hon GuestStacker Chair"/>
    <n v="725.34400000000005"/>
    <n v="4"/>
    <n v="54.400799999999997"/>
    <x v="4"/>
    <x v="0"/>
  </r>
  <r>
    <x v="1347"/>
    <x v="773"/>
    <d v="2015-05-27T00:00:00"/>
    <x v="0"/>
    <s v="NM-18445"/>
    <s v="Nathan Mautz"/>
    <x v="2"/>
    <s v="United States"/>
    <x v="25"/>
    <x v="17"/>
    <x v="3"/>
    <s v="FUR-FU-10003724"/>
    <s v="Furniture"/>
    <x v="3"/>
    <s v="Westinghouse Clip-On Gooseneck Lamps"/>
    <n v="75.33"/>
    <n v="9"/>
    <n v="19.585799999999999"/>
    <x v="4"/>
    <x v="7"/>
  </r>
  <r>
    <x v="1348"/>
    <x v="693"/>
    <d v="2014-04-01T00:00:00"/>
    <x v="2"/>
    <s v="MP-17470"/>
    <s v="Mark Packer"/>
    <x v="2"/>
    <s v="United States"/>
    <x v="193"/>
    <x v="5"/>
    <x v="3"/>
    <s v="FUR-CH-10002304"/>
    <s v="Furniture"/>
    <x v="1"/>
    <s v="Global Stack Chair without Arms, Black"/>
    <n v="127.30200000000001"/>
    <n v="7"/>
    <n v="-9.093"/>
    <x v="3"/>
    <x v="9"/>
  </r>
  <r>
    <x v="1349"/>
    <x v="297"/>
    <d v="2018-01-01T00:00:00"/>
    <x v="0"/>
    <s v="KH-16360"/>
    <s v="Katherine Hughes"/>
    <x v="0"/>
    <s v="United States"/>
    <x v="74"/>
    <x v="0"/>
    <x v="0"/>
    <s v="FUR-CH-10002602"/>
    <s v="Furniture"/>
    <x v="1"/>
    <s v="DMI Arturo Collection Mission-style Design Wood Chair"/>
    <n v="1207.8399999999999"/>
    <n v="8"/>
    <n v="314.03840000000002"/>
    <x v="0"/>
    <x v="5"/>
  </r>
  <r>
    <x v="1349"/>
    <x v="297"/>
    <d v="2018-01-01T00:00:00"/>
    <x v="0"/>
    <s v="KH-16360"/>
    <s v="Katherine Hughes"/>
    <x v="0"/>
    <s v="United States"/>
    <x v="74"/>
    <x v="0"/>
    <x v="0"/>
    <s v="FUR-CH-10004495"/>
    <s v="Furniture"/>
    <x v="1"/>
    <s v="Global Leather and Oak Executive Chair, Black"/>
    <n v="300.98"/>
    <n v="1"/>
    <n v="87.284199999999998"/>
    <x v="0"/>
    <x v="5"/>
  </r>
  <r>
    <x v="1349"/>
    <x v="297"/>
    <d v="2018-01-01T00:00:00"/>
    <x v="0"/>
    <s v="KH-16360"/>
    <s v="Katherine Hughes"/>
    <x v="0"/>
    <s v="United States"/>
    <x v="74"/>
    <x v="0"/>
    <x v="0"/>
    <s v="FUR-CH-10001270"/>
    <s v="Furniture"/>
    <x v="1"/>
    <s v="Harbour Creations Steel Folding Chair"/>
    <n v="258.75"/>
    <n v="3"/>
    <n v="77.625"/>
    <x v="0"/>
    <x v="5"/>
  </r>
  <r>
    <x v="1350"/>
    <x v="774"/>
    <d v="2017-03-08T00:00:00"/>
    <x v="1"/>
    <s v="DB-13555"/>
    <s v="Dorothy Badders"/>
    <x v="1"/>
    <s v="United States"/>
    <x v="19"/>
    <x v="14"/>
    <x v="2"/>
    <s v="FUR-BO-10003660"/>
    <s v="Furniture"/>
    <x v="0"/>
    <s v="Bush Cubix Collection Bookcases, Fully Assembled"/>
    <n v="441.96"/>
    <n v="2"/>
    <n v="101.6508"/>
    <x v="6"/>
    <x v="9"/>
  </r>
  <r>
    <x v="1351"/>
    <x v="509"/>
    <d v="2015-04-11T00:00:00"/>
    <x v="1"/>
    <s v="CA-11965"/>
    <s v="Carol Adams"/>
    <x v="1"/>
    <s v="United States"/>
    <x v="2"/>
    <x v="2"/>
    <x v="1"/>
    <s v="FUR-CH-10003973"/>
    <s v="Furniture"/>
    <x v="1"/>
    <s v="GuestStacker Chair with Chrome Finish Legs"/>
    <n v="892.22400000000005"/>
    <n v="3"/>
    <n v="89.222399999999993"/>
    <x v="6"/>
    <x v="6"/>
  </r>
  <r>
    <x v="1352"/>
    <x v="775"/>
    <d v="2016-03-16T00:00:00"/>
    <x v="2"/>
    <s v="FC-14335"/>
    <s v="Fred Chung"/>
    <x v="1"/>
    <s v="United States"/>
    <x v="28"/>
    <x v="2"/>
    <x v="1"/>
    <s v="FUR-CH-10000309"/>
    <s v="Furniture"/>
    <x v="1"/>
    <s v="Global Comet Stacking Arm Chair"/>
    <n v="1352.0319999999999"/>
    <n v="4"/>
    <n v="84.501999999999995"/>
    <x v="5"/>
    <x v="9"/>
  </r>
  <r>
    <x v="1353"/>
    <x v="7"/>
    <d v="2015-12-31T00:00:00"/>
    <x v="1"/>
    <s v="DB-13120"/>
    <s v="David Bremer"/>
    <x v="1"/>
    <s v="United States"/>
    <x v="149"/>
    <x v="15"/>
    <x v="2"/>
    <s v="FUR-TA-10004154"/>
    <s v="Furniture"/>
    <x v="2"/>
    <s v="Riverside Furniture Oval Coffee Table, Oval End Table, End Table with Drawer"/>
    <n v="1548.99"/>
    <n v="9"/>
    <n v="-464.697"/>
    <x v="4"/>
    <x v="5"/>
  </r>
  <r>
    <x v="1354"/>
    <x v="737"/>
    <d v="2015-12-02T00:00:00"/>
    <x v="0"/>
    <s v="JM-15865"/>
    <s v="John Murray"/>
    <x v="0"/>
    <s v="United States"/>
    <x v="205"/>
    <x v="34"/>
    <x v="1"/>
    <s v="FUR-FU-10002813"/>
    <s v="Furniture"/>
    <x v="3"/>
    <s v="DAX Contemporary Wood Frame with Silver Metal Mat, Desktop, 11 x 14 Size"/>
    <n v="80.959999999999994"/>
    <n v="4"/>
    <n v="29.145600000000002"/>
    <x v="3"/>
    <x v="0"/>
  </r>
  <r>
    <x v="1355"/>
    <x v="776"/>
    <d v="2014-04-15T00:00:00"/>
    <x v="3"/>
    <s v="PS-18970"/>
    <s v="Paul Stevenson"/>
    <x v="2"/>
    <s v="United States"/>
    <x v="2"/>
    <x v="2"/>
    <x v="1"/>
    <s v="FUR-FU-10004091"/>
    <s v="Furniture"/>
    <x v="3"/>
    <s v="Howard Miller 13&quot; Diameter Goldtone Round Wall Clock"/>
    <n v="187.76"/>
    <n v="4"/>
    <n v="76.9816"/>
    <x v="7"/>
    <x v="6"/>
  </r>
  <r>
    <x v="1356"/>
    <x v="777"/>
    <d v="2014-01-12T00:00:00"/>
    <x v="1"/>
    <s v="VS-21820"/>
    <s v="Vivek Sundaresam"/>
    <x v="0"/>
    <s v="United States"/>
    <x v="156"/>
    <x v="5"/>
    <x v="3"/>
    <s v="FUR-FU-10004864"/>
    <s v="Furniture"/>
    <x v="3"/>
    <s v="Howard Miller 14-1/2&quot; Diameter Chrome Round Wall Clock"/>
    <n v="76.727999999999994"/>
    <n v="3"/>
    <n v="-53.709600000000002"/>
    <x v="2"/>
    <x v="8"/>
  </r>
  <r>
    <x v="1357"/>
    <x v="27"/>
    <d v="2014-10-26T00:00:00"/>
    <x v="1"/>
    <s v="NB-18580"/>
    <s v="Nicole Brennan"/>
    <x v="1"/>
    <s v="United States"/>
    <x v="331"/>
    <x v="35"/>
    <x v="0"/>
    <s v="FUR-FU-10000193"/>
    <s v="Furniture"/>
    <x v="3"/>
    <s v="Tenex Chairmats For Use with Hard Floors"/>
    <n v="129.91999999999999"/>
    <n v="4"/>
    <n v="10.393599999999999"/>
    <x v="4"/>
    <x v="1"/>
  </r>
  <r>
    <x v="1358"/>
    <x v="61"/>
    <d v="2015-11-29T00:00:00"/>
    <x v="0"/>
    <s v="MA-17560"/>
    <s v="Matt Abelman"/>
    <x v="2"/>
    <s v="United States"/>
    <x v="114"/>
    <x v="20"/>
    <x v="2"/>
    <s v="FUR-BO-10002916"/>
    <s v="Furniture"/>
    <x v="0"/>
    <s v="Rush Hierlooms Collection 1&quot; Thick Stackable Bookcases"/>
    <n v="170.98"/>
    <n v="1"/>
    <n v="32.486199999999997"/>
    <x v="3"/>
    <x v="0"/>
  </r>
  <r>
    <x v="1358"/>
    <x v="61"/>
    <d v="2015-11-29T00:00:00"/>
    <x v="0"/>
    <s v="MA-17560"/>
    <s v="Matt Abelman"/>
    <x v="2"/>
    <s v="United States"/>
    <x v="114"/>
    <x v="20"/>
    <x v="2"/>
    <s v="FUR-FU-10002506"/>
    <s v="Furniture"/>
    <x v="3"/>
    <s v="Tensor &quot;Hersey Kiss&quot; Styled Floor Lamp"/>
    <n v="38.97"/>
    <n v="3"/>
    <n v="4.6764000000000001"/>
    <x v="3"/>
    <x v="0"/>
  </r>
  <r>
    <x v="1358"/>
    <x v="61"/>
    <d v="2015-11-29T00:00:00"/>
    <x v="0"/>
    <s v="MA-17560"/>
    <s v="Matt Abelman"/>
    <x v="2"/>
    <s v="United States"/>
    <x v="114"/>
    <x v="20"/>
    <x v="2"/>
    <s v="FUR-TA-10004619"/>
    <s v="Furniture"/>
    <x v="2"/>
    <s v="Hon Non-Folding Utility Tables"/>
    <n v="446.06799999999998"/>
    <n v="4"/>
    <n v="0"/>
    <x v="3"/>
    <x v="0"/>
  </r>
  <r>
    <x v="1359"/>
    <x v="252"/>
    <d v="2015-01-07T00:00:00"/>
    <x v="1"/>
    <s v="KM-16375"/>
    <s v="Katherine Murray"/>
    <x v="2"/>
    <s v="United States"/>
    <x v="134"/>
    <x v="38"/>
    <x v="2"/>
    <s v="FUR-BO-10000362"/>
    <s v="Furniture"/>
    <x v="0"/>
    <s v="Sauder Inglewood Library Bookcases"/>
    <n v="341.96"/>
    <n v="2"/>
    <n v="78.650800000000004"/>
    <x v="1"/>
    <x v="5"/>
  </r>
  <r>
    <x v="1359"/>
    <x v="252"/>
    <d v="2015-01-07T00:00:00"/>
    <x v="1"/>
    <s v="KM-16375"/>
    <s v="Katherine Murray"/>
    <x v="2"/>
    <s v="United States"/>
    <x v="134"/>
    <x v="38"/>
    <x v="2"/>
    <s v="FUR-CH-10004218"/>
    <s v="Furniture"/>
    <x v="1"/>
    <s v="Global Fabric Manager's Chair, Dark Gray"/>
    <n v="605.88"/>
    <n v="6"/>
    <n v="151.47"/>
    <x v="1"/>
    <x v="5"/>
  </r>
  <r>
    <x v="1360"/>
    <x v="778"/>
    <d v="2016-11-29T00:00:00"/>
    <x v="1"/>
    <s v="BB-11545"/>
    <s v="Brenda Bowman"/>
    <x v="1"/>
    <s v="United States"/>
    <x v="38"/>
    <x v="17"/>
    <x v="3"/>
    <s v="FUR-TA-10001095"/>
    <s v="Furniture"/>
    <x v="2"/>
    <s v="Chromcraft Round Conference Tables"/>
    <n v="1568.61"/>
    <n v="9"/>
    <n v="329.40809999999999"/>
    <x v="4"/>
    <x v="0"/>
  </r>
  <r>
    <x v="1361"/>
    <x v="316"/>
    <d v="2017-07-17T00:00:00"/>
    <x v="2"/>
    <s v="RS-19420"/>
    <s v="Ricardo Sperren"/>
    <x v="1"/>
    <s v="United States"/>
    <x v="122"/>
    <x v="25"/>
    <x v="0"/>
    <s v="FUR-TA-10004575"/>
    <s v="Furniture"/>
    <x v="2"/>
    <s v="Hon 5100 Series Wood Tables"/>
    <n v="872.94"/>
    <n v="3"/>
    <n v="157.1292"/>
    <x v="3"/>
    <x v="3"/>
  </r>
  <r>
    <x v="1362"/>
    <x v="779"/>
    <d v="2016-03-22T00:00:00"/>
    <x v="3"/>
    <s v="MC-17275"/>
    <s v="Marc Crier"/>
    <x v="0"/>
    <s v="United States"/>
    <x v="15"/>
    <x v="13"/>
    <x v="1"/>
    <s v="FUR-CH-10004754"/>
    <s v="Furniture"/>
    <x v="1"/>
    <s v="Global Stack Chair with Arms, Black"/>
    <n v="167.88800000000001"/>
    <n v="7"/>
    <n v="14.690200000000001"/>
    <x v="7"/>
    <x v="9"/>
  </r>
  <r>
    <x v="1363"/>
    <x v="417"/>
    <d v="2017-12-18T00:00:00"/>
    <x v="1"/>
    <s v="BF-11170"/>
    <s v="Ben Ferrer"/>
    <x v="2"/>
    <s v="United States"/>
    <x v="37"/>
    <x v="20"/>
    <x v="2"/>
    <s v="FUR-TA-10003473"/>
    <s v="Furniture"/>
    <x v="2"/>
    <s v="Bretford Rectangular Conference Table Tops"/>
    <n v="526.58199999999999"/>
    <n v="2"/>
    <n v="-52.658200000000001"/>
    <x v="4"/>
    <x v="5"/>
  </r>
  <r>
    <x v="1364"/>
    <x v="238"/>
    <d v="2016-09-02T00:00:00"/>
    <x v="1"/>
    <s v="AA-10480"/>
    <s v="Andrew Allen"/>
    <x v="0"/>
    <s v="United States"/>
    <x v="25"/>
    <x v="17"/>
    <x v="3"/>
    <s v="FUR-TA-10004147"/>
    <s v="Furniture"/>
    <x v="2"/>
    <s v="Hon 4060 Series Tables"/>
    <n v="447.84"/>
    <n v="4"/>
    <n v="98.524799999999999"/>
    <x v="1"/>
    <x v="10"/>
  </r>
  <r>
    <x v="1365"/>
    <x v="780"/>
    <d v="2017-10-30T00:00:00"/>
    <x v="0"/>
    <s v="JM-15250"/>
    <s v="Janet Martin"/>
    <x v="0"/>
    <s v="United States"/>
    <x v="160"/>
    <x v="30"/>
    <x v="0"/>
    <s v="FUR-FU-10001876"/>
    <s v="Furniture"/>
    <x v="3"/>
    <s v="Computer Room Manger, 14&quot;"/>
    <n v="77.951999999999998"/>
    <n v="3"/>
    <n v="15.590400000000001"/>
    <x v="3"/>
    <x v="1"/>
  </r>
  <r>
    <x v="1366"/>
    <x v="468"/>
    <d v="2015-09-14T00:00:00"/>
    <x v="1"/>
    <s v="AR-10345"/>
    <s v="Alex Russell"/>
    <x v="1"/>
    <s v="United States"/>
    <x v="198"/>
    <x v="5"/>
    <x v="3"/>
    <s v="FUR-CH-10003981"/>
    <s v="Furniture"/>
    <x v="1"/>
    <s v="Global Commerce Series Low-Back Swivel/Tilt Chairs"/>
    <n v="179.886"/>
    <n v="1"/>
    <n v="-2.5697999999999999"/>
    <x v="4"/>
    <x v="4"/>
  </r>
  <r>
    <x v="1367"/>
    <x v="234"/>
    <d v="2017-06-19T00:00:00"/>
    <x v="1"/>
    <s v="TW-21025"/>
    <s v="Tamara Willingham"/>
    <x v="2"/>
    <s v="United States"/>
    <x v="15"/>
    <x v="13"/>
    <x v="1"/>
    <s v="FUR-CH-10003774"/>
    <s v="Furniture"/>
    <x v="1"/>
    <s v="Global Wood Trimmed Manager's Task Chair, Khaki"/>
    <n v="291.13600000000002"/>
    <n v="4"/>
    <n v="-25.474399999999999"/>
    <x v="6"/>
    <x v="2"/>
  </r>
  <r>
    <x v="1368"/>
    <x v="311"/>
    <d v="2015-06-24T00:00:00"/>
    <x v="1"/>
    <s v="KH-16510"/>
    <s v="Keith Herrera"/>
    <x v="0"/>
    <s v="United States"/>
    <x v="58"/>
    <x v="25"/>
    <x v="0"/>
    <s v="FUR-FU-10003464"/>
    <s v="Furniture"/>
    <x v="3"/>
    <s v="Seth Thomas 8 1/2&quot; Cubicle Clock"/>
    <n v="60.84"/>
    <n v="3"/>
    <n v="19.468800000000002"/>
    <x v="6"/>
    <x v="2"/>
  </r>
  <r>
    <x v="1369"/>
    <x v="737"/>
    <d v="2015-12-03T00:00:00"/>
    <x v="2"/>
    <s v="AB-10600"/>
    <s v="Ann Blume"/>
    <x v="1"/>
    <s v="United States"/>
    <x v="51"/>
    <x v="30"/>
    <x v="0"/>
    <s v="FUR-FU-10001546"/>
    <s v="Furniture"/>
    <x v="3"/>
    <s v="Dana Swing-Arm Lamps"/>
    <n v="17.088000000000001"/>
    <n v="2"/>
    <n v="1.0680000000000001"/>
    <x v="0"/>
    <x v="0"/>
  </r>
  <r>
    <x v="1370"/>
    <x v="596"/>
    <d v="2017-11-16T00:00:00"/>
    <x v="0"/>
    <s v="SP-20620"/>
    <s v="Stefania Perrino"/>
    <x v="1"/>
    <s v="United States"/>
    <x v="252"/>
    <x v="7"/>
    <x v="2"/>
    <s v="FUR-FU-10004845"/>
    <s v="Furniture"/>
    <x v="3"/>
    <s v="Deflect-o EconoMat Nonstudded, No Bevel Mat"/>
    <n v="154.94999999999999"/>
    <n v="3"/>
    <n v="30.99"/>
    <x v="0"/>
    <x v="0"/>
  </r>
  <r>
    <x v="1371"/>
    <x v="661"/>
    <d v="2017-08-12T00:00:00"/>
    <x v="3"/>
    <s v="BB-11545"/>
    <s v="Brenda Bowman"/>
    <x v="1"/>
    <s v="United States"/>
    <x v="11"/>
    <x v="32"/>
    <x v="2"/>
    <s v="FUR-CH-10002331"/>
    <s v="Furniture"/>
    <x v="1"/>
    <s v="Hon 4700 Series Mobuis Mid-Back Task Chairs with Adjustable Arms"/>
    <n v="1779.9"/>
    <n v="5"/>
    <n v="373.779"/>
    <x v="7"/>
    <x v="10"/>
  </r>
  <r>
    <x v="1372"/>
    <x v="114"/>
    <d v="2016-11-06T00:00:00"/>
    <x v="0"/>
    <s v="ER-13855"/>
    <s v="Elpida Rittenbach"/>
    <x v="1"/>
    <s v="United States"/>
    <x v="127"/>
    <x v="30"/>
    <x v="0"/>
    <s v="FUR-TA-10002533"/>
    <s v="Furniture"/>
    <x v="2"/>
    <s v="BPI Conference Tables"/>
    <n v="876.3"/>
    <n v="10"/>
    <n v="-292.10000000000002"/>
    <x v="3"/>
    <x v="0"/>
  </r>
  <r>
    <x v="1373"/>
    <x v="586"/>
    <d v="2016-05-20T00:00:00"/>
    <x v="2"/>
    <s v="LW-17215"/>
    <s v="Luke Weiss"/>
    <x v="0"/>
    <s v="United States"/>
    <x v="9"/>
    <x v="8"/>
    <x v="3"/>
    <s v="FUR-FU-10004973"/>
    <s v="Furniture"/>
    <x v="3"/>
    <s v="Flat Face Poster Frame"/>
    <n v="22.608000000000001"/>
    <n v="3"/>
    <n v="-10.1736"/>
    <x v="0"/>
    <x v="7"/>
  </r>
  <r>
    <x v="1374"/>
    <x v="781"/>
    <d v="2017-03-27T00:00:00"/>
    <x v="2"/>
    <s v="HR-14830"/>
    <s v="Harold Ryan"/>
    <x v="1"/>
    <s v="United States"/>
    <x v="13"/>
    <x v="7"/>
    <x v="2"/>
    <s v="FUR-CH-10003396"/>
    <s v="Furniture"/>
    <x v="1"/>
    <s v="Global Deluxe Steno Chair"/>
    <n v="207.846"/>
    <n v="3"/>
    <n v="2.3094000000000001"/>
    <x v="0"/>
    <x v="9"/>
  </r>
  <r>
    <x v="1375"/>
    <x v="782"/>
    <d v="2014-03-29T00:00:00"/>
    <x v="0"/>
    <s v="MS-17710"/>
    <s v="Maurice Satty"/>
    <x v="0"/>
    <s v="United States"/>
    <x v="99"/>
    <x v="2"/>
    <x v="1"/>
    <s v="FUR-FU-10002813"/>
    <s v="Furniture"/>
    <x v="3"/>
    <s v="DAX Contemporary Wood Frame with Silver Metal Mat, Desktop, 11 x 14 Size"/>
    <n v="40.479999999999997"/>
    <n v="2"/>
    <n v="14.572800000000001"/>
    <x v="2"/>
    <x v="9"/>
  </r>
  <r>
    <x v="1376"/>
    <x v="783"/>
    <d v="2016-02-15T00:00:00"/>
    <x v="2"/>
    <s v="DK-13090"/>
    <s v="Dave Kipp"/>
    <x v="0"/>
    <s v="United States"/>
    <x v="218"/>
    <x v="32"/>
    <x v="2"/>
    <s v="FUR-TA-10002356"/>
    <s v="Furniture"/>
    <x v="2"/>
    <s v="Bevis Boat-Shaped Conference Table"/>
    <n v="550.43100000000004"/>
    <n v="3"/>
    <n v="-47.1798"/>
    <x v="5"/>
    <x v="11"/>
  </r>
  <r>
    <x v="1376"/>
    <x v="783"/>
    <d v="2016-02-15T00:00:00"/>
    <x v="2"/>
    <s v="DK-13090"/>
    <s v="Dave Kipp"/>
    <x v="0"/>
    <s v="United States"/>
    <x v="218"/>
    <x v="32"/>
    <x v="2"/>
    <s v="FUR-FU-10003274"/>
    <s v="Furniture"/>
    <x v="3"/>
    <s v="Regeneration Desk Collection"/>
    <n v="10.56"/>
    <n v="6"/>
    <n v="4.6463999999999999"/>
    <x v="5"/>
    <x v="11"/>
  </r>
  <r>
    <x v="1377"/>
    <x v="784"/>
    <d v="2017-06-10T00:00:00"/>
    <x v="2"/>
    <s v="MG-17680"/>
    <s v="Maureen Gastineau"/>
    <x v="2"/>
    <s v="United States"/>
    <x v="2"/>
    <x v="2"/>
    <x v="1"/>
    <s v="FUR-BO-10004834"/>
    <s v="Furniture"/>
    <x v="0"/>
    <s v="Riverside Palais Royal Lawyers Bookcase, Royale Cherry Finish"/>
    <n v="1497.6659999999999"/>
    <n v="2"/>
    <n v="140.95679999999999"/>
    <x v="3"/>
    <x v="2"/>
  </r>
  <r>
    <x v="1378"/>
    <x v="785"/>
    <d v="2014-05-23T00:00:00"/>
    <x v="1"/>
    <s v="PW-19030"/>
    <s v="Pauline Webber"/>
    <x v="1"/>
    <s v="United States"/>
    <x v="2"/>
    <x v="2"/>
    <x v="1"/>
    <s v="FUR-CH-10002439"/>
    <s v="Furniture"/>
    <x v="1"/>
    <s v="Iceberg Nesting Folding Chair, 19w x 6d x 43h"/>
    <n v="232.88"/>
    <n v="5"/>
    <n v="17.466000000000001"/>
    <x v="1"/>
    <x v="7"/>
  </r>
  <r>
    <x v="1379"/>
    <x v="136"/>
    <d v="2015-02-07T00:00:00"/>
    <x v="1"/>
    <s v="PW-19030"/>
    <s v="Pauline Webber"/>
    <x v="1"/>
    <s v="United States"/>
    <x v="248"/>
    <x v="7"/>
    <x v="2"/>
    <s v="FUR-CH-10004218"/>
    <s v="Furniture"/>
    <x v="1"/>
    <s v="Global Fabric Manager's Chair, Dark Gray"/>
    <n v="90.882000000000005"/>
    <n v="1"/>
    <n v="15.147"/>
    <x v="4"/>
    <x v="11"/>
  </r>
  <r>
    <x v="1380"/>
    <x v="12"/>
    <d v="2015-05-01T00:00:00"/>
    <x v="1"/>
    <s v="BW-11110"/>
    <s v="Bart Watters"/>
    <x v="1"/>
    <s v="United States"/>
    <x v="53"/>
    <x v="2"/>
    <x v="1"/>
    <s v="FUR-CH-10002017"/>
    <s v="Furniture"/>
    <x v="1"/>
    <s v="SAFCO Optional Arm Kit for Workspace Cribbage Stacking Chair"/>
    <n v="63.936"/>
    <n v="3"/>
    <n v="6.3936000000000002"/>
    <x v="2"/>
    <x v="6"/>
  </r>
  <r>
    <x v="1381"/>
    <x v="315"/>
    <d v="2015-04-17T00:00:00"/>
    <x v="0"/>
    <s v="EB-14110"/>
    <s v="Eugene Barchas"/>
    <x v="0"/>
    <s v="United States"/>
    <x v="2"/>
    <x v="2"/>
    <x v="1"/>
    <s v="FUR-TA-10002530"/>
    <s v="Furniture"/>
    <x v="2"/>
    <s v="Iceberg OfficeWorks 42&quot; Round Tables"/>
    <n v="241.56800000000001"/>
    <n v="2"/>
    <n v="-15.098000000000001"/>
    <x v="4"/>
    <x v="6"/>
  </r>
  <r>
    <x v="1382"/>
    <x v="4"/>
    <d v="2015-09-30T00:00:00"/>
    <x v="1"/>
    <s v="SH-19975"/>
    <s v="Sally Hughsby"/>
    <x v="1"/>
    <s v="United States"/>
    <x v="15"/>
    <x v="13"/>
    <x v="1"/>
    <s v="FUR-CH-10004289"/>
    <s v="Furniture"/>
    <x v="1"/>
    <s v="Global Super Steno Chair"/>
    <n v="307.13600000000002"/>
    <n v="4"/>
    <n v="-11.5176"/>
    <x v="2"/>
    <x v="4"/>
  </r>
  <r>
    <x v="1383"/>
    <x v="786"/>
    <d v="2014-04-02T00:00:00"/>
    <x v="1"/>
    <s v="CV-12295"/>
    <s v="Christina VanderZanden"/>
    <x v="0"/>
    <s v="United States"/>
    <x v="67"/>
    <x v="26"/>
    <x v="3"/>
    <s v="FUR-TA-10003954"/>
    <s v="Furniture"/>
    <x v="2"/>
    <s v="Hon 94000 Series Round Tables"/>
    <n v="1184.72"/>
    <n v="4"/>
    <n v="106.62479999999999"/>
    <x v="2"/>
    <x v="9"/>
  </r>
  <r>
    <x v="1384"/>
    <x v="720"/>
    <d v="2017-07-25T00:00:00"/>
    <x v="1"/>
    <s v="GM-14500"/>
    <s v="Gene McClure"/>
    <x v="0"/>
    <s v="United States"/>
    <x v="191"/>
    <x v="5"/>
    <x v="3"/>
    <s v="FUR-TA-10001676"/>
    <s v="Furniture"/>
    <x v="2"/>
    <s v="Hon 61000 Series Interactive Training Tables"/>
    <n v="124.404"/>
    <n v="4"/>
    <n v="-21.3264"/>
    <x v="4"/>
    <x v="3"/>
  </r>
  <r>
    <x v="1385"/>
    <x v="787"/>
    <d v="2016-03-02T00:00:00"/>
    <x v="1"/>
    <s v="DW-13540"/>
    <s v="Don Weiss"/>
    <x v="0"/>
    <s v="United States"/>
    <x v="6"/>
    <x v="5"/>
    <x v="3"/>
    <s v="FUR-FU-10004053"/>
    <s v="Furniture"/>
    <x v="3"/>
    <s v="DAX Two-Tone Silver Metal Document Frame"/>
    <n v="16.192"/>
    <n v="2"/>
    <n v="-6.8815999999999997"/>
    <x v="4"/>
    <x v="11"/>
  </r>
  <r>
    <x v="1386"/>
    <x v="788"/>
    <d v="2015-07-19T00:00:00"/>
    <x v="0"/>
    <s v="TG-21310"/>
    <s v="Toby Gnade"/>
    <x v="0"/>
    <s v="United States"/>
    <x v="81"/>
    <x v="22"/>
    <x v="1"/>
    <s v="FUR-CH-10004287"/>
    <s v="Furniture"/>
    <x v="1"/>
    <s v="SAFCO Arco Folding Chair"/>
    <n v="441.92"/>
    <n v="2"/>
    <n v="49.716000000000001"/>
    <x v="2"/>
    <x v="3"/>
  </r>
  <r>
    <x v="1386"/>
    <x v="788"/>
    <d v="2015-07-19T00:00:00"/>
    <x v="0"/>
    <s v="TG-21310"/>
    <s v="Toby Gnade"/>
    <x v="0"/>
    <s v="United States"/>
    <x v="81"/>
    <x v="22"/>
    <x v="1"/>
    <s v="FUR-BO-10001608"/>
    <s v="Furniture"/>
    <x v="0"/>
    <s v="Hon Metal Bookcases, Black"/>
    <n v="127.764"/>
    <n v="6"/>
    <n v="-191.64599999999999"/>
    <x v="2"/>
    <x v="3"/>
  </r>
  <r>
    <x v="1387"/>
    <x v="162"/>
    <d v="2016-10-07T00:00:00"/>
    <x v="1"/>
    <s v="DB-12910"/>
    <s v="Daniel Byrd"/>
    <x v="2"/>
    <s v="United States"/>
    <x v="284"/>
    <x v="2"/>
    <x v="1"/>
    <s v="FUR-CH-10004063"/>
    <s v="Furniture"/>
    <x v="1"/>
    <s v="Global Deluxe High-Back Manager's Chair"/>
    <n v="915.13599999999997"/>
    <n v="4"/>
    <n v="102.9528"/>
    <x v="4"/>
    <x v="1"/>
  </r>
  <r>
    <x v="1388"/>
    <x v="789"/>
    <d v="2016-12-04T00:00:00"/>
    <x v="0"/>
    <s v="DR-12940"/>
    <s v="Daniel Raglin"/>
    <x v="2"/>
    <s v="United States"/>
    <x v="14"/>
    <x v="8"/>
    <x v="3"/>
    <s v="FUR-FU-10003806"/>
    <s v="Furniture"/>
    <x v="3"/>
    <s v="Tenex Chairmat w/ Average Lip, 45&quot; x 53&quot;"/>
    <n v="242.17599999999999"/>
    <n v="4"/>
    <n v="-302.72000000000003"/>
    <x v="2"/>
    <x v="0"/>
  </r>
  <r>
    <x v="1389"/>
    <x v="184"/>
    <d v="2016-06-21T00:00:00"/>
    <x v="1"/>
    <s v="JS-15685"/>
    <s v="Jim Sink"/>
    <x v="1"/>
    <s v="United States"/>
    <x v="3"/>
    <x v="3"/>
    <x v="2"/>
    <s v="FUR-TA-10003392"/>
    <s v="Furniture"/>
    <x v="2"/>
    <s v="Global Adaptabilities Conference Tables"/>
    <n v="337.17599999999999"/>
    <n v="2"/>
    <n v="-118.0116"/>
    <x v="1"/>
    <x v="2"/>
  </r>
  <r>
    <x v="1390"/>
    <x v="587"/>
    <d v="2017-12-06T00:00:00"/>
    <x v="0"/>
    <s v="LC-16870"/>
    <s v="Lena Cacioppo"/>
    <x v="0"/>
    <s v="United States"/>
    <x v="332"/>
    <x v="12"/>
    <x v="1"/>
    <s v="FUR-FU-10004351"/>
    <s v="Furniture"/>
    <x v="3"/>
    <s v="Staple-based wall hangings"/>
    <n v="23.376000000000001"/>
    <n v="3"/>
    <n v="7.0128000000000004"/>
    <x v="0"/>
    <x v="5"/>
  </r>
  <r>
    <x v="1390"/>
    <x v="587"/>
    <d v="2017-12-06T00:00:00"/>
    <x v="0"/>
    <s v="LC-16870"/>
    <s v="Lena Cacioppo"/>
    <x v="0"/>
    <s v="United States"/>
    <x v="332"/>
    <x v="12"/>
    <x v="1"/>
    <s v="FUR-FU-10004270"/>
    <s v="Furniture"/>
    <x v="3"/>
    <s v="Eldon Image Series Desk Accessories, Burgundy"/>
    <n v="16.72"/>
    <n v="5"/>
    <n v="3.3439999999999999"/>
    <x v="0"/>
    <x v="5"/>
  </r>
  <r>
    <x v="1390"/>
    <x v="587"/>
    <d v="2017-12-06T00:00:00"/>
    <x v="0"/>
    <s v="LC-16870"/>
    <s v="Lena Cacioppo"/>
    <x v="0"/>
    <s v="United States"/>
    <x v="332"/>
    <x v="12"/>
    <x v="1"/>
    <s v="FUR-FU-10004053"/>
    <s v="Furniture"/>
    <x v="3"/>
    <s v="DAX Two-Tone Silver Metal Document Frame"/>
    <n v="16.192"/>
    <n v="1"/>
    <n v="4.6551999999999998"/>
    <x v="0"/>
    <x v="5"/>
  </r>
  <r>
    <x v="1391"/>
    <x v="683"/>
    <d v="2016-12-29T00:00:00"/>
    <x v="1"/>
    <s v="TS-21655"/>
    <s v="Trudy Schmidt"/>
    <x v="0"/>
    <s v="United States"/>
    <x v="160"/>
    <x v="31"/>
    <x v="0"/>
    <s v="FUR-FU-10003553"/>
    <s v="Furniture"/>
    <x v="3"/>
    <s v="Howard Miller 13-1/2&quot; Diameter Rosebrook Wall Clock"/>
    <n v="343.85"/>
    <n v="5"/>
    <n v="137.54"/>
    <x v="4"/>
    <x v="5"/>
  </r>
  <r>
    <x v="1392"/>
    <x v="790"/>
    <d v="2017-08-18T00:00:00"/>
    <x v="1"/>
    <s v="DC-12850"/>
    <s v="Dan Campbell"/>
    <x v="0"/>
    <s v="United States"/>
    <x v="10"/>
    <x v="9"/>
    <x v="0"/>
    <s v="FUR-FU-10003268"/>
    <s v="Furniture"/>
    <x v="3"/>
    <s v="Eldon Radial Chair Mat for Low to Medium Pile Carpets"/>
    <n v="31.984000000000002"/>
    <n v="1"/>
    <n v="0"/>
    <x v="2"/>
    <x v="10"/>
  </r>
  <r>
    <x v="1392"/>
    <x v="790"/>
    <d v="2017-08-18T00:00:00"/>
    <x v="1"/>
    <s v="DC-12850"/>
    <s v="Dan Campbell"/>
    <x v="0"/>
    <s v="United States"/>
    <x v="10"/>
    <x v="9"/>
    <x v="0"/>
    <s v="FUR-CH-10002073"/>
    <s v="Furniture"/>
    <x v="1"/>
    <s v="Hon Olson Stacker Chairs"/>
    <n v="423.64800000000002"/>
    <n v="2"/>
    <n v="47.660400000000003"/>
    <x v="2"/>
    <x v="10"/>
  </r>
  <r>
    <x v="1393"/>
    <x v="122"/>
    <d v="2016-12-07T00:00:00"/>
    <x v="1"/>
    <s v="RD-19720"/>
    <s v="Roger Demir"/>
    <x v="0"/>
    <s v="United States"/>
    <x v="333"/>
    <x v="2"/>
    <x v="1"/>
    <s v="FUR-TA-10004147"/>
    <s v="Furniture"/>
    <x v="2"/>
    <s v="Hon 4060 Series Tables"/>
    <n v="268.70400000000001"/>
    <n v="3"/>
    <n v="6.7176"/>
    <x v="4"/>
    <x v="5"/>
  </r>
  <r>
    <x v="1393"/>
    <x v="122"/>
    <d v="2016-12-07T00:00:00"/>
    <x v="1"/>
    <s v="RD-19720"/>
    <s v="Roger Demir"/>
    <x v="0"/>
    <s v="United States"/>
    <x v="333"/>
    <x v="2"/>
    <x v="1"/>
    <s v="FUR-BO-10001337"/>
    <s v="Furniture"/>
    <x v="0"/>
    <s v="O'Sullivan Living Dimensions 2-Shelf Bookcases"/>
    <n v="205.666"/>
    <n v="2"/>
    <n v="-12.098000000000001"/>
    <x v="4"/>
    <x v="5"/>
  </r>
  <r>
    <x v="1394"/>
    <x v="376"/>
    <d v="2016-04-30T00:00:00"/>
    <x v="0"/>
    <s v="RB-19570"/>
    <s v="Rob Beeghly"/>
    <x v="0"/>
    <s v="United States"/>
    <x v="317"/>
    <x v="8"/>
    <x v="3"/>
    <s v="FUR-FU-10001602"/>
    <s v="Furniture"/>
    <x v="3"/>
    <s v="Eldon Delta Triangular Chair Mat, 52&quot; x 58&quot;, Clear"/>
    <n v="30.344000000000001"/>
    <n v="2"/>
    <n v="-31.8612"/>
    <x v="3"/>
    <x v="6"/>
  </r>
  <r>
    <x v="1395"/>
    <x v="141"/>
    <d v="2015-11-24T00:00:00"/>
    <x v="1"/>
    <s v="PO-19195"/>
    <s v="Phillina Ober"/>
    <x v="2"/>
    <s v="United States"/>
    <x v="3"/>
    <x v="3"/>
    <x v="2"/>
    <s v="FUR-CH-10002880"/>
    <s v="Furniture"/>
    <x v="1"/>
    <s v="Global High-Back Leather Tilter, Burgundy"/>
    <n v="344.37200000000001"/>
    <n v="4"/>
    <n v="-93.472399999999993"/>
    <x v="4"/>
    <x v="0"/>
  </r>
  <r>
    <x v="1396"/>
    <x v="93"/>
    <d v="2017-11-24T00:00:00"/>
    <x v="0"/>
    <s v="KH-16330"/>
    <s v="Katharine Harms"/>
    <x v="1"/>
    <s v="United States"/>
    <x v="13"/>
    <x v="7"/>
    <x v="2"/>
    <s v="FUR-FU-10000820"/>
    <s v="Furniture"/>
    <x v="3"/>
    <s v="Tensor Brushed Steel Torchiere Floor Lamp"/>
    <n v="50.97"/>
    <n v="3"/>
    <n v="9.1745999999999999"/>
    <x v="4"/>
    <x v="0"/>
  </r>
  <r>
    <x v="1397"/>
    <x v="730"/>
    <d v="2017-07-27T00:00:00"/>
    <x v="2"/>
    <s v="EM-14200"/>
    <s v="Evan Minnotte"/>
    <x v="2"/>
    <s v="United States"/>
    <x v="144"/>
    <x v="5"/>
    <x v="3"/>
    <s v="FUR-TA-10004767"/>
    <s v="Furniture"/>
    <x v="2"/>
    <s v="Safco Drafting Table"/>
    <n v="298.11599999999999"/>
    <n v="6"/>
    <n v="-4.2587999999999999"/>
    <x v="3"/>
    <x v="3"/>
  </r>
  <r>
    <x v="1398"/>
    <x v="791"/>
    <d v="2016-07-20T00:00:00"/>
    <x v="1"/>
    <s v="MC-17425"/>
    <s v="Mark Cousins"/>
    <x v="1"/>
    <s v="United States"/>
    <x v="295"/>
    <x v="36"/>
    <x v="1"/>
    <s v="FUR-CH-10004886"/>
    <s v="Furniture"/>
    <x v="1"/>
    <s v="Bevis Steel Folding Chairs"/>
    <n v="230.28"/>
    <n v="3"/>
    <n v="23.027999999999999"/>
    <x v="2"/>
    <x v="3"/>
  </r>
  <r>
    <x v="1399"/>
    <x v="469"/>
    <d v="2016-12-17T00:00:00"/>
    <x v="2"/>
    <s v="DS-13180"/>
    <s v="David Smith"/>
    <x v="1"/>
    <s v="United States"/>
    <x v="53"/>
    <x v="2"/>
    <x v="1"/>
    <s v="FUR-CH-10001146"/>
    <s v="Furniture"/>
    <x v="1"/>
    <s v="Global Task Chair, Black"/>
    <n v="81.424000000000007"/>
    <n v="2"/>
    <n v="-9.1601999999999997"/>
    <x v="0"/>
    <x v="5"/>
  </r>
  <r>
    <x v="1400"/>
    <x v="29"/>
    <d v="2014-03-05T00:00:00"/>
    <x v="1"/>
    <s v="SC-20380"/>
    <s v="Shahid Collister"/>
    <x v="0"/>
    <s v="United States"/>
    <x v="116"/>
    <x v="5"/>
    <x v="3"/>
    <s v="FUR-CH-10001270"/>
    <s v="Furniture"/>
    <x v="1"/>
    <s v="Harbour Creations Steel Folding Chair"/>
    <n v="362.25"/>
    <n v="6"/>
    <n v="0"/>
    <x v="4"/>
    <x v="9"/>
  </r>
  <r>
    <x v="1400"/>
    <x v="29"/>
    <d v="2014-03-05T00:00:00"/>
    <x v="1"/>
    <s v="SC-20380"/>
    <s v="Shahid Collister"/>
    <x v="0"/>
    <s v="United States"/>
    <x v="116"/>
    <x v="5"/>
    <x v="3"/>
    <s v="FUR-FU-10001095"/>
    <s v="Furniture"/>
    <x v="3"/>
    <s v="DAX Black Cherry Wood-Tone Poster Frame"/>
    <n v="63.552"/>
    <n v="6"/>
    <n v="-34.953600000000002"/>
    <x v="4"/>
    <x v="9"/>
  </r>
  <r>
    <x v="1401"/>
    <x v="702"/>
    <d v="2017-10-10T00:00:00"/>
    <x v="1"/>
    <s v="GG-14650"/>
    <s v="Greg Guthrie"/>
    <x v="1"/>
    <s v="United States"/>
    <x v="297"/>
    <x v="2"/>
    <x v="1"/>
    <s v="FUR-CH-10001190"/>
    <s v="Furniture"/>
    <x v="1"/>
    <s v="Global Deluxe High-Back Office Chair in Storm"/>
    <n v="435.16800000000001"/>
    <n v="4"/>
    <n v="-59.835599999999999"/>
    <x v="2"/>
    <x v="1"/>
  </r>
  <r>
    <x v="1401"/>
    <x v="702"/>
    <d v="2017-10-10T00:00:00"/>
    <x v="1"/>
    <s v="GG-14650"/>
    <s v="Greg Guthrie"/>
    <x v="1"/>
    <s v="United States"/>
    <x v="297"/>
    <x v="2"/>
    <x v="1"/>
    <s v="FUR-FU-10004666"/>
    <s v="Furniture"/>
    <x v="3"/>
    <s v="DAX Clear Channel Poster Frame"/>
    <n v="72.900000000000006"/>
    <n v="5"/>
    <n v="26.972999999999999"/>
    <x v="2"/>
    <x v="1"/>
  </r>
  <r>
    <x v="1401"/>
    <x v="702"/>
    <d v="2017-10-10T00:00:00"/>
    <x v="1"/>
    <s v="GG-14650"/>
    <s v="Greg Guthrie"/>
    <x v="1"/>
    <s v="United States"/>
    <x v="297"/>
    <x v="2"/>
    <x v="1"/>
    <s v="FUR-TA-10004086"/>
    <s v="Furniture"/>
    <x v="2"/>
    <s v="KI Adjustable-Height Table"/>
    <n v="206.352"/>
    <n v="3"/>
    <n v="5.1588000000000003"/>
    <x v="2"/>
    <x v="1"/>
  </r>
  <r>
    <x v="1402"/>
    <x v="792"/>
    <d v="2016-10-12T00:00:00"/>
    <x v="2"/>
    <s v="CC-12610"/>
    <s v="Corey Catlett"/>
    <x v="1"/>
    <s v="United States"/>
    <x v="22"/>
    <x v="12"/>
    <x v="1"/>
    <s v="FUR-BO-10001567"/>
    <s v="Furniture"/>
    <x v="0"/>
    <s v="Bush Westfield Collection Bookcases, Dark Cherry Finish, Fully Assembled"/>
    <n v="90.882000000000005"/>
    <n v="3"/>
    <n v="-190.85220000000001"/>
    <x v="3"/>
    <x v="1"/>
  </r>
  <r>
    <x v="1402"/>
    <x v="792"/>
    <d v="2016-10-12T00:00:00"/>
    <x v="2"/>
    <s v="CC-12610"/>
    <s v="Corey Catlett"/>
    <x v="1"/>
    <s v="United States"/>
    <x v="22"/>
    <x v="12"/>
    <x v="1"/>
    <s v="FUR-CH-10004853"/>
    <s v="Furniture"/>
    <x v="1"/>
    <s v="Global Manager's Adjustable Task Chair, Storm"/>
    <n v="120.78400000000001"/>
    <n v="1"/>
    <n v="13.588200000000001"/>
    <x v="3"/>
    <x v="1"/>
  </r>
  <r>
    <x v="1403"/>
    <x v="793"/>
    <d v="2015-08-20T00:00:00"/>
    <x v="1"/>
    <s v="SP-20860"/>
    <s v="Sung Pak"/>
    <x v="1"/>
    <s v="United States"/>
    <x v="3"/>
    <x v="3"/>
    <x v="2"/>
    <s v="FUR-FU-10001488"/>
    <s v="Furniture"/>
    <x v="3"/>
    <s v="Tenex 46&quot; x 60&quot; Computer Anti-Static Chairmat, Rectangular Shaped"/>
    <n v="254.352"/>
    <n v="3"/>
    <n v="0"/>
    <x v="4"/>
    <x v="10"/>
  </r>
  <r>
    <x v="1404"/>
    <x v="767"/>
    <d v="2014-09-13T00:00:00"/>
    <x v="2"/>
    <s v="SF-20065"/>
    <s v="Sandra Flanagan"/>
    <x v="0"/>
    <s v="United States"/>
    <x v="334"/>
    <x v="18"/>
    <x v="2"/>
    <s v="FUR-FU-10001986"/>
    <s v="Furniture"/>
    <x v="3"/>
    <s v="Dana Fluorescent Magnifying Lamp, White, 36&quot;"/>
    <n v="254.9"/>
    <n v="5"/>
    <n v="76.47"/>
    <x v="0"/>
    <x v="4"/>
  </r>
  <r>
    <x v="1405"/>
    <x v="141"/>
    <d v="2015-11-23T00:00:00"/>
    <x v="0"/>
    <s v="MM-18055"/>
    <s v="Michelle Moray"/>
    <x v="0"/>
    <s v="United States"/>
    <x v="14"/>
    <x v="12"/>
    <x v="1"/>
    <s v="FUR-BO-10002268"/>
    <s v="Furniture"/>
    <x v="0"/>
    <s v="Sauder Barrister Bookcases"/>
    <n v="145.76400000000001"/>
    <n v="6"/>
    <n v="-247.7988"/>
    <x v="0"/>
    <x v="0"/>
  </r>
  <r>
    <x v="1406"/>
    <x v="54"/>
    <d v="2017-11-05T00:00:00"/>
    <x v="2"/>
    <s v="CR-12580"/>
    <s v="Clay Rozendal"/>
    <x v="2"/>
    <s v="United States"/>
    <x v="53"/>
    <x v="2"/>
    <x v="1"/>
    <s v="FUR-TA-10001095"/>
    <s v="Furniture"/>
    <x v="2"/>
    <s v="Chromcraft Round Conference Tables"/>
    <n v="1673.184"/>
    <n v="12"/>
    <n v="20.9148"/>
    <x v="3"/>
    <x v="0"/>
  </r>
  <r>
    <x v="1407"/>
    <x v="236"/>
    <d v="2014-05-07T00:00:00"/>
    <x v="2"/>
    <s v="BS-11365"/>
    <s v="Bill Shonely"/>
    <x v="1"/>
    <s v="United States"/>
    <x v="15"/>
    <x v="13"/>
    <x v="1"/>
    <s v="FUR-FU-10001852"/>
    <s v="Furniture"/>
    <x v="3"/>
    <s v="Eldon Regeneration Recycled Desk Accessories, Smoke"/>
    <n v="12.18"/>
    <n v="7"/>
    <n v="3.8976000000000002"/>
    <x v="0"/>
    <x v="7"/>
  </r>
  <r>
    <x v="1408"/>
    <x v="280"/>
    <d v="2014-12-03T00:00:00"/>
    <x v="2"/>
    <s v="AA-10645"/>
    <s v="Anna Andreadi"/>
    <x v="0"/>
    <s v="United States"/>
    <x v="172"/>
    <x v="20"/>
    <x v="2"/>
    <s v="FUR-FU-10003878"/>
    <s v="Furniture"/>
    <x v="3"/>
    <s v="Linden 10&quot; Round Wall Clock, Black"/>
    <n v="45.84"/>
    <n v="3"/>
    <n v="15.585599999999999"/>
    <x v="3"/>
    <x v="5"/>
  </r>
  <r>
    <x v="1408"/>
    <x v="280"/>
    <d v="2014-12-03T00:00:00"/>
    <x v="2"/>
    <s v="AA-10645"/>
    <s v="Anna Andreadi"/>
    <x v="0"/>
    <s v="United States"/>
    <x v="172"/>
    <x v="20"/>
    <x v="2"/>
    <s v="FUR-FU-10002268"/>
    <s v="Furniture"/>
    <x v="3"/>
    <s v="Ultra Door Push Plate"/>
    <n v="9.82"/>
    <n v="2"/>
    <n v="3.2406000000000001"/>
    <x v="3"/>
    <x v="5"/>
  </r>
  <r>
    <x v="1409"/>
    <x v="669"/>
    <d v="2015-11-24T00:00:00"/>
    <x v="1"/>
    <s v="AA-10645"/>
    <s v="Anna Andreadi"/>
    <x v="0"/>
    <s v="United States"/>
    <x v="258"/>
    <x v="37"/>
    <x v="3"/>
    <s v="FUR-CH-10002073"/>
    <s v="Furniture"/>
    <x v="1"/>
    <s v="Hon Olson Stacker Chairs"/>
    <n v="1323.9"/>
    <n v="5"/>
    <n v="383.93099999999998"/>
    <x v="1"/>
    <x v="0"/>
  </r>
  <r>
    <x v="1410"/>
    <x v="794"/>
    <d v="2017-05-25T00:00:00"/>
    <x v="3"/>
    <s v="TB-21625"/>
    <s v="Trudy Brown"/>
    <x v="0"/>
    <s v="United States"/>
    <x v="13"/>
    <x v="7"/>
    <x v="2"/>
    <s v="FUR-FU-10000732"/>
    <s v="Furniture"/>
    <x v="3"/>
    <s v="Eldon 200 Class Desk Accessories"/>
    <n v="18.84"/>
    <n v="3"/>
    <n v="6.0288000000000004"/>
    <x v="7"/>
    <x v="7"/>
  </r>
  <r>
    <x v="1411"/>
    <x v="383"/>
    <d v="2014-09-11T00:00:00"/>
    <x v="2"/>
    <s v="NF-18595"/>
    <s v="Nicole Fjeld"/>
    <x v="2"/>
    <s v="United States"/>
    <x v="68"/>
    <x v="15"/>
    <x v="2"/>
    <s v="FUR-FU-10002501"/>
    <s v="Furniture"/>
    <x v="3"/>
    <s v="Nu-Dell Executive Frame"/>
    <n v="60.671999999999997"/>
    <n v="6"/>
    <n v="12.892799999999999"/>
    <x v="3"/>
    <x v="4"/>
  </r>
  <r>
    <x v="1412"/>
    <x v="294"/>
    <d v="2014-07-25T00:00:00"/>
    <x v="1"/>
    <s v="HM-14860"/>
    <s v="Harry Marie"/>
    <x v="1"/>
    <s v="United States"/>
    <x v="144"/>
    <x v="5"/>
    <x v="3"/>
    <s v="FUR-CH-10004997"/>
    <s v="Furniture"/>
    <x v="1"/>
    <s v="Hon Every-Day Series Multi-Task Chairs"/>
    <n v="657.93"/>
    <n v="5"/>
    <n v="-93.99"/>
    <x v="4"/>
    <x v="3"/>
  </r>
  <r>
    <x v="1413"/>
    <x v="795"/>
    <d v="2015-09-15T00:00:00"/>
    <x v="0"/>
    <s v="DM-13525"/>
    <s v="Don Miller"/>
    <x v="1"/>
    <s v="United States"/>
    <x v="13"/>
    <x v="7"/>
    <x v="2"/>
    <s v="FUR-FU-10000277"/>
    <s v="Furniture"/>
    <x v="3"/>
    <s v="Deflect-o DuraMat Antistatic Studded Beveled Mat for Medium Pile Carpeting"/>
    <n v="210.68"/>
    <n v="2"/>
    <n v="50.563200000000002"/>
    <x v="4"/>
    <x v="4"/>
  </r>
  <r>
    <x v="1414"/>
    <x v="796"/>
    <d v="2016-01-11T00:00:00"/>
    <x v="1"/>
    <s v="NM-18520"/>
    <s v="Neoma Murray"/>
    <x v="0"/>
    <s v="United States"/>
    <x v="45"/>
    <x v="5"/>
    <x v="3"/>
    <s v="FUR-FU-10004270"/>
    <s v="Furniture"/>
    <x v="3"/>
    <s v="Executive Impressions 13&quot; Clairmont Wall Clock"/>
    <n v="23.076000000000001"/>
    <n v="3"/>
    <n v="-10.9611"/>
    <x v="4"/>
    <x v="8"/>
  </r>
  <r>
    <x v="1415"/>
    <x v="528"/>
    <d v="2015-06-28T00:00:00"/>
    <x v="2"/>
    <s v="MV-17485"/>
    <s v="Mark Van Huff"/>
    <x v="0"/>
    <s v="United States"/>
    <x v="6"/>
    <x v="5"/>
    <x v="3"/>
    <s v="FUR-FU-10004587"/>
    <s v="Furniture"/>
    <x v="3"/>
    <s v="GE General Use Halogen Bulbs, 100 Watts, 1 Bulb per Pack"/>
    <n v="75.384"/>
    <n v="9"/>
    <n v="-20.730599999999999"/>
    <x v="0"/>
    <x v="2"/>
  </r>
  <r>
    <x v="1416"/>
    <x v="254"/>
    <d v="2017-07-02T00:00:00"/>
    <x v="0"/>
    <s v="JC-15775"/>
    <s v="John Castell"/>
    <x v="0"/>
    <s v="United States"/>
    <x v="2"/>
    <x v="2"/>
    <x v="1"/>
    <s v="FUR-BO-10003966"/>
    <s v="Furniture"/>
    <x v="0"/>
    <s v="Sauder Facets Collection Library, Sky Alder Finish"/>
    <n v="435.99900000000002"/>
    <n v="3"/>
    <n v="5.1294000000000004"/>
    <x v="3"/>
    <x v="2"/>
  </r>
  <r>
    <x v="1417"/>
    <x v="67"/>
    <d v="2017-08-25T00:00:00"/>
    <x v="0"/>
    <s v="CM-11815"/>
    <s v="Candace McMahon"/>
    <x v="1"/>
    <s v="United States"/>
    <x v="15"/>
    <x v="13"/>
    <x v="1"/>
    <s v="FUR-CH-10004698"/>
    <s v="Furniture"/>
    <x v="1"/>
    <s v="Padded Folding Chairs, Black, 4/Carton"/>
    <n v="388.70400000000001"/>
    <n v="6"/>
    <n v="38.870399999999997"/>
    <x v="4"/>
    <x v="10"/>
  </r>
  <r>
    <x v="1418"/>
    <x v="745"/>
    <d v="2017-03-15T00:00:00"/>
    <x v="1"/>
    <s v="PV-18985"/>
    <s v="Paul Van Hugh"/>
    <x v="2"/>
    <s v="United States"/>
    <x v="335"/>
    <x v="20"/>
    <x v="2"/>
    <s v="FUR-FU-10001379"/>
    <s v="Furniture"/>
    <x v="3"/>
    <s v="Executive Impressions 16-1/2&quot; Circular Wall Clock"/>
    <n v="26.72"/>
    <n v="1"/>
    <n v="11.7568"/>
    <x v="4"/>
    <x v="9"/>
  </r>
  <r>
    <x v="1419"/>
    <x v="218"/>
    <d v="2014-09-30T00:00:00"/>
    <x v="1"/>
    <s v="CM-12715"/>
    <s v="Craig Molinari"/>
    <x v="1"/>
    <s v="United States"/>
    <x v="3"/>
    <x v="3"/>
    <x v="2"/>
    <s v="FUR-FU-10001095"/>
    <s v="Furniture"/>
    <x v="3"/>
    <s v="DAX Black Cherry Wood-Tone Poster Frame"/>
    <n v="21.184000000000001"/>
    <n v="1"/>
    <n v="4.7664"/>
    <x v="4"/>
    <x v="4"/>
  </r>
  <r>
    <x v="1420"/>
    <x v="797"/>
    <d v="2015-09-04T00:00:00"/>
    <x v="1"/>
    <s v="CB-12025"/>
    <s v="Cassandra Brandow"/>
    <x v="0"/>
    <s v="United States"/>
    <x v="2"/>
    <x v="2"/>
    <x v="1"/>
    <s v="FUR-BO-10004695"/>
    <s v="Furniture"/>
    <x v="0"/>
    <s v="O'Sullivan 2-Door Barrister Bookcase in Odessa Pine"/>
    <n v="307.666"/>
    <n v="2"/>
    <n v="28.956800000000001"/>
    <x v="1"/>
    <x v="10"/>
  </r>
  <r>
    <x v="1420"/>
    <x v="797"/>
    <d v="2015-09-04T00:00:00"/>
    <x v="1"/>
    <s v="CB-12025"/>
    <s v="Cassandra Brandow"/>
    <x v="0"/>
    <s v="United States"/>
    <x v="2"/>
    <x v="2"/>
    <x v="1"/>
    <s v="FUR-FU-10003981"/>
    <s v="Furniture"/>
    <x v="3"/>
    <s v="Eldon Wave Desk Accessories"/>
    <n v="4.16"/>
    <n v="2"/>
    <n v="1.7472000000000001"/>
    <x v="1"/>
    <x v="10"/>
  </r>
  <r>
    <x v="1421"/>
    <x v="798"/>
    <d v="2015-10-24T00:00:00"/>
    <x v="1"/>
    <s v="NS-18640"/>
    <s v="Noel Staavos"/>
    <x v="1"/>
    <s v="United States"/>
    <x v="28"/>
    <x v="2"/>
    <x v="1"/>
    <s v="FUR-FU-10001731"/>
    <s v="Furniture"/>
    <x v="3"/>
    <s v="Acrylic Self-Standing Desk Frames"/>
    <n v="16.02"/>
    <n v="6"/>
    <n v="6.0876000000000001"/>
    <x v="4"/>
    <x v="1"/>
  </r>
  <r>
    <x v="1422"/>
    <x v="143"/>
    <d v="2017-01-05T00:00:00"/>
    <x v="1"/>
    <s v="JM-15250"/>
    <s v="Janet Martin"/>
    <x v="0"/>
    <s v="United States"/>
    <x v="156"/>
    <x v="5"/>
    <x v="3"/>
    <s v="FUR-FU-10002116"/>
    <s v="Furniture"/>
    <x v="3"/>
    <s v="Tenex Carpeted, Granite-Look or Clear Contemporary Contour Shape Chair Mats"/>
    <n v="141.41999999999999"/>
    <n v="5"/>
    <n v="-187.38149999999999"/>
    <x v="4"/>
    <x v="8"/>
  </r>
  <r>
    <x v="1422"/>
    <x v="143"/>
    <d v="2017-01-05T00:00:00"/>
    <x v="1"/>
    <s v="JM-15250"/>
    <s v="Janet Martin"/>
    <x v="0"/>
    <s v="United States"/>
    <x v="156"/>
    <x v="5"/>
    <x v="3"/>
    <s v="FUR-CH-10003199"/>
    <s v="Furniture"/>
    <x v="1"/>
    <s v="Office Star - Contemporary Task Swivel Chair"/>
    <n v="310.74400000000003"/>
    <n v="4"/>
    <n v="-26.635200000000001"/>
    <x v="4"/>
    <x v="8"/>
  </r>
  <r>
    <x v="1423"/>
    <x v="799"/>
    <d v="2015-06-29T00:00:00"/>
    <x v="1"/>
    <s v="RF-19345"/>
    <s v="Randy Ferguson"/>
    <x v="1"/>
    <s v="United States"/>
    <x v="336"/>
    <x v="24"/>
    <x v="0"/>
    <s v="FUR-FU-10000794"/>
    <s v="Furniture"/>
    <x v="3"/>
    <s v="Eldon Stackable Tray, Side-Load, Legal, Smoke"/>
    <n v="27.42"/>
    <n v="3"/>
    <n v="9.3228000000000009"/>
    <x v="6"/>
    <x v="2"/>
  </r>
  <r>
    <x v="1424"/>
    <x v="697"/>
    <d v="2016-10-26T00:00:00"/>
    <x v="1"/>
    <s v="LC-16960"/>
    <s v="Lindsay Castell"/>
    <x v="2"/>
    <s v="United States"/>
    <x v="58"/>
    <x v="25"/>
    <x v="0"/>
    <s v="FUR-FU-10000246"/>
    <s v="Furniture"/>
    <x v="3"/>
    <s v="Aluminum Document Frame"/>
    <n v="61.1"/>
    <n v="5"/>
    <n v="18.329999999999998"/>
    <x v="6"/>
    <x v="1"/>
  </r>
  <r>
    <x v="1425"/>
    <x v="534"/>
    <d v="2017-08-01T00:00:00"/>
    <x v="0"/>
    <s v="DK-13375"/>
    <s v="Dennis Kane"/>
    <x v="0"/>
    <s v="United States"/>
    <x v="15"/>
    <x v="13"/>
    <x v="1"/>
    <s v="FUR-FU-10001940"/>
    <s v="Furniture"/>
    <x v="3"/>
    <s v="Staple-based wall hangings"/>
    <n v="23.88"/>
    <n v="3"/>
    <n v="10.507199999999999"/>
    <x v="2"/>
    <x v="3"/>
  </r>
  <r>
    <x v="1426"/>
    <x v="506"/>
    <d v="2017-02-19T00:00:00"/>
    <x v="2"/>
    <s v="CR-12820"/>
    <s v="Cyra Reiten"/>
    <x v="2"/>
    <s v="United States"/>
    <x v="6"/>
    <x v="5"/>
    <x v="3"/>
    <s v="FUR-BO-10001601"/>
    <s v="Furniture"/>
    <x v="0"/>
    <s v="Sauder Mission Library with Doors, Fruitwood Finish"/>
    <n v="89.066400000000002"/>
    <n v="1"/>
    <n v="-17.0274"/>
    <x v="3"/>
    <x v="11"/>
  </r>
  <r>
    <x v="1427"/>
    <x v="64"/>
    <d v="2017-12-15T00:00:00"/>
    <x v="1"/>
    <s v="EG-13900"/>
    <s v="Emily Grady"/>
    <x v="0"/>
    <s v="United States"/>
    <x v="3"/>
    <x v="3"/>
    <x v="2"/>
    <s v="FUR-CH-10003396"/>
    <s v="Furniture"/>
    <x v="1"/>
    <s v="Global Deluxe Steno Chair"/>
    <n v="215.54400000000001"/>
    <n v="4"/>
    <n v="-58.504800000000003"/>
    <x v="1"/>
    <x v="5"/>
  </r>
  <r>
    <x v="1428"/>
    <x v="414"/>
    <d v="2017-11-23T00:00:00"/>
    <x v="1"/>
    <s v="RD-19930"/>
    <s v="Russell D'Ascenzo"/>
    <x v="0"/>
    <s v="United States"/>
    <x v="9"/>
    <x v="8"/>
    <x v="3"/>
    <s v="FUR-CH-10000422"/>
    <s v="Furniture"/>
    <x v="1"/>
    <s v="Global Highback Leather Tilter in Burgundy"/>
    <n v="127.386"/>
    <n v="2"/>
    <n v="-25.4772"/>
    <x v="2"/>
    <x v="0"/>
  </r>
  <r>
    <x v="1429"/>
    <x v="193"/>
    <d v="2016-12-03T00:00:00"/>
    <x v="0"/>
    <s v="JM-15865"/>
    <s v="John Murray"/>
    <x v="0"/>
    <s v="United States"/>
    <x v="147"/>
    <x v="5"/>
    <x v="3"/>
    <s v="FUR-CH-10002647"/>
    <s v="Furniture"/>
    <x v="1"/>
    <s v="Situations Contoured Folding Chairs, 4/Set"/>
    <n v="248.43"/>
    <n v="5"/>
    <n v="-17.745000000000001"/>
    <x v="3"/>
    <x v="5"/>
  </r>
  <r>
    <x v="1429"/>
    <x v="193"/>
    <d v="2016-12-03T00:00:00"/>
    <x v="0"/>
    <s v="JM-15865"/>
    <s v="John Murray"/>
    <x v="0"/>
    <s v="United States"/>
    <x v="147"/>
    <x v="5"/>
    <x v="3"/>
    <s v="FUR-CH-10004477"/>
    <s v="Furniture"/>
    <x v="1"/>
    <s v="Global Push Button Manager's Chair, Indigo"/>
    <n v="85.245999999999995"/>
    <n v="2"/>
    <n v="-1.2178"/>
    <x v="3"/>
    <x v="5"/>
  </r>
  <r>
    <x v="1430"/>
    <x v="800"/>
    <d v="2017-09-04T00:00:00"/>
    <x v="1"/>
    <s v="RW-19540"/>
    <s v="Rick Wilson"/>
    <x v="1"/>
    <s v="United States"/>
    <x v="2"/>
    <x v="2"/>
    <x v="1"/>
    <s v="FUR-FU-10003374"/>
    <s v="Furniture"/>
    <x v="3"/>
    <s v="Electrix Fluorescent Magnifier Lamps &amp; Weighted Base"/>
    <n v="148.02000000000001"/>
    <n v="3"/>
    <n v="41.445599999999999"/>
    <x v="6"/>
    <x v="10"/>
  </r>
  <r>
    <x v="1431"/>
    <x v="801"/>
    <d v="2017-07-27T00:00:00"/>
    <x v="1"/>
    <s v="EB-13930"/>
    <s v="Eric Barreto"/>
    <x v="0"/>
    <s v="United States"/>
    <x v="9"/>
    <x v="8"/>
    <x v="3"/>
    <s v="FUR-CH-10004997"/>
    <s v="Furniture"/>
    <x v="1"/>
    <s v="Hon Every-Day Series Multi-Task Chairs"/>
    <n v="526.34400000000005"/>
    <n v="4"/>
    <n v="-75.191999999999993"/>
    <x v="2"/>
    <x v="3"/>
  </r>
  <r>
    <x v="1432"/>
    <x v="367"/>
    <d v="2016-11-16T00:00:00"/>
    <x v="1"/>
    <s v="LP-17080"/>
    <s v="Liz Pelletier"/>
    <x v="0"/>
    <s v="United States"/>
    <x v="28"/>
    <x v="2"/>
    <x v="1"/>
    <s v="FUR-FU-10001934"/>
    <s v="Furniture"/>
    <x v="3"/>
    <s v="Magnifier Swing Arm Lamp"/>
    <n v="41.96"/>
    <n v="2"/>
    <n v="10.909599999999999"/>
    <x v="2"/>
    <x v="0"/>
  </r>
  <r>
    <x v="1432"/>
    <x v="367"/>
    <d v="2016-11-16T00:00:00"/>
    <x v="1"/>
    <s v="LP-17080"/>
    <s v="Liz Pelletier"/>
    <x v="0"/>
    <s v="United States"/>
    <x v="28"/>
    <x v="2"/>
    <x v="1"/>
    <s v="FUR-CH-10004997"/>
    <s v="Furniture"/>
    <x v="1"/>
    <s v="Hon Every-Day Series Multi-Task Chairs"/>
    <n v="451.15199999999999"/>
    <n v="3"/>
    <n v="0"/>
    <x v="2"/>
    <x v="0"/>
  </r>
  <r>
    <x v="1433"/>
    <x v="87"/>
    <d v="2017-09-12T00:00:00"/>
    <x v="1"/>
    <s v="JA-15970"/>
    <s v="Joseph Airdo"/>
    <x v="0"/>
    <s v="United States"/>
    <x v="337"/>
    <x v="2"/>
    <x v="1"/>
    <s v="FUR-CH-10004860"/>
    <s v="Furniture"/>
    <x v="1"/>
    <s v="Global Low Back Tilter Chair"/>
    <n v="161.56800000000001"/>
    <n v="2"/>
    <n v="-28.2744"/>
    <x v="2"/>
    <x v="4"/>
  </r>
  <r>
    <x v="1434"/>
    <x v="802"/>
    <d v="2017-09-01T00:00:00"/>
    <x v="1"/>
    <s v="DP-13000"/>
    <s v="Darren Powers"/>
    <x v="0"/>
    <s v="United States"/>
    <x v="9"/>
    <x v="8"/>
    <x v="3"/>
    <s v="FUR-FU-10000222"/>
    <s v="Furniture"/>
    <x v="3"/>
    <s v="Seth Thomas 16&quot; Steel Case Clock"/>
    <n v="64.959999999999994"/>
    <n v="5"/>
    <n v="-43.847999999999999"/>
    <x v="6"/>
    <x v="10"/>
  </r>
  <r>
    <x v="1435"/>
    <x v="643"/>
    <d v="2015-10-13T00:00:00"/>
    <x v="1"/>
    <s v="GH-14485"/>
    <s v="Gene Hale"/>
    <x v="1"/>
    <s v="United States"/>
    <x v="144"/>
    <x v="5"/>
    <x v="3"/>
    <s v="FUR-FU-10003708"/>
    <s v="Furniture"/>
    <x v="3"/>
    <s v="Tenex Traditional Chairmats for Medium Pile Carpet, Standard Lip, 36&quot; x 48&quot;"/>
    <n v="72.78"/>
    <n v="3"/>
    <n v="-70.960499999999996"/>
    <x v="2"/>
    <x v="1"/>
  </r>
  <r>
    <x v="1436"/>
    <x v="577"/>
    <d v="2016-08-16T00:00:00"/>
    <x v="1"/>
    <s v="CS-12490"/>
    <s v="Cindy Schnelling"/>
    <x v="1"/>
    <s v="United States"/>
    <x v="49"/>
    <x v="1"/>
    <x v="0"/>
    <s v="FUR-TA-10002533"/>
    <s v="Furniture"/>
    <x v="2"/>
    <s v="BPI Conference Tables"/>
    <n v="562.29250000000002"/>
    <n v="7"/>
    <n v="-255.58750000000001"/>
    <x v="4"/>
    <x v="10"/>
  </r>
  <r>
    <x v="1437"/>
    <x v="77"/>
    <d v="2014-11-13T00:00:00"/>
    <x v="1"/>
    <s v="BF-11215"/>
    <s v="Benjamin Farhat"/>
    <x v="2"/>
    <s v="United States"/>
    <x v="13"/>
    <x v="7"/>
    <x v="2"/>
    <s v="FUR-FU-10004091"/>
    <s v="Furniture"/>
    <x v="3"/>
    <s v="Eldon 200 Class Desk Accessories, Black"/>
    <n v="56.52"/>
    <n v="9"/>
    <n v="21.477599999999999"/>
    <x v="4"/>
    <x v="0"/>
  </r>
  <r>
    <x v="1438"/>
    <x v="223"/>
    <d v="2016-02-10T00:00:00"/>
    <x v="1"/>
    <s v="AZ-10750"/>
    <s v="Annie Zypern"/>
    <x v="0"/>
    <s v="United States"/>
    <x v="53"/>
    <x v="2"/>
    <x v="1"/>
    <s v="FUR-TA-10001095"/>
    <s v="Furniture"/>
    <x v="2"/>
    <s v="Chromcraft Round Conference Tables"/>
    <n v="557.72799999999995"/>
    <n v="4"/>
    <n v="6.9715999999999996"/>
    <x v="2"/>
    <x v="11"/>
  </r>
  <r>
    <x v="1439"/>
    <x v="375"/>
    <d v="2014-01-29T00:00:00"/>
    <x v="2"/>
    <s v="CA-11965"/>
    <s v="Carol Adams"/>
    <x v="1"/>
    <s v="United States"/>
    <x v="338"/>
    <x v="40"/>
    <x v="3"/>
    <s v="FUR-BO-10004409"/>
    <s v="Furniture"/>
    <x v="0"/>
    <s v="Safco Value Mate Series Steel Bookcases, Baked Enamel Finish on Steel, Gray"/>
    <n v="141.96"/>
    <n v="2"/>
    <n v="39.748800000000003"/>
    <x v="0"/>
    <x v="8"/>
  </r>
  <r>
    <x v="1440"/>
    <x v="803"/>
    <d v="2016-10-09T00:00:00"/>
    <x v="1"/>
    <s v="MS-17830"/>
    <s v="Melanie Seite"/>
    <x v="0"/>
    <s v="United States"/>
    <x v="237"/>
    <x v="32"/>
    <x v="2"/>
    <s v="FUR-TA-10002622"/>
    <s v="Furniture"/>
    <x v="2"/>
    <s v="Bush Andora Conference Table, Maple/Graphite Gray Finish"/>
    <n v="239.37200000000001"/>
    <n v="2"/>
    <n v="-23.937200000000001"/>
    <x v="2"/>
    <x v="1"/>
  </r>
  <r>
    <x v="1441"/>
    <x v="285"/>
    <d v="2016-02-20T00:00:00"/>
    <x v="1"/>
    <s v="JD-15790"/>
    <s v="John Dryer"/>
    <x v="0"/>
    <s v="United States"/>
    <x v="31"/>
    <x v="18"/>
    <x v="2"/>
    <s v="FUR-CH-10001545"/>
    <s v="Furniture"/>
    <x v="1"/>
    <s v="Hon Comfortask Task/Swivel Chairs"/>
    <n v="227.96"/>
    <n v="2"/>
    <n v="36.473599999999998"/>
    <x v="4"/>
    <x v="11"/>
  </r>
  <r>
    <x v="1442"/>
    <x v="46"/>
    <d v="2015-11-06T00:00:00"/>
    <x v="1"/>
    <s v="LT-17110"/>
    <s v="Liz Thompson"/>
    <x v="0"/>
    <s v="United States"/>
    <x v="53"/>
    <x v="2"/>
    <x v="1"/>
    <s v="FUR-FU-10004909"/>
    <s v="Furniture"/>
    <x v="3"/>
    <s v="Contemporary Wood/Metal Frame"/>
    <n v="96.96"/>
    <n v="6"/>
    <n v="33.936"/>
    <x v="4"/>
    <x v="0"/>
  </r>
  <r>
    <x v="1442"/>
    <x v="46"/>
    <d v="2015-11-06T00:00:00"/>
    <x v="1"/>
    <s v="LT-17110"/>
    <s v="Liz Thompson"/>
    <x v="0"/>
    <s v="United States"/>
    <x v="53"/>
    <x v="2"/>
    <x v="1"/>
    <s v="FUR-BO-10004357"/>
    <s v="Furniture"/>
    <x v="0"/>
    <s v="O'Sullivan Living Dimensions 3-Shelf Bookcases"/>
    <n v="512.49900000000002"/>
    <n v="3"/>
    <n v="-30.146999999999998"/>
    <x v="4"/>
    <x v="0"/>
  </r>
  <r>
    <x v="1443"/>
    <x v="581"/>
    <d v="2016-08-05T00:00:00"/>
    <x v="1"/>
    <s v="AH-10690"/>
    <s v="Anna HŠberlin"/>
    <x v="1"/>
    <s v="United States"/>
    <x v="28"/>
    <x v="2"/>
    <x v="1"/>
    <s v="FUR-TA-10002774"/>
    <s v="Furniture"/>
    <x v="2"/>
    <s v="Laminate Occasional Tables"/>
    <n v="863.12800000000004"/>
    <n v="7"/>
    <n v="-32.3673"/>
    <x v="2"/>
    <x v="3"/>
  </r>
  <r>
    <x v="1444"/>
    <x v="200"/>
    <d v="2017-11-13T00:00:00"/>
    <x v="1"/>
    <s v="AB-10060"/>
    <s v="Adam Bellavance"/>
    <x v="2"/>
    <s v="United States"/>
    <x v="15"/>
    <x v="13"/>
    <x v="1"/>
    <s v="FUR-TA-10004575"/>
    <s v="Furniture"/>
    <x v="2"/>
    <s v="Hon 5100 Series Wood Tables"/>
    <n v="2036.86"/>
    <n v="7"/>
    <n v="366.63479999999998"/>
    <x v="1"/>
    <x v="0"/>
  </r>
  <r>
    <x v="1444"/>
    <x v="200"/>
    <d v="2017-11-13T00:00:00"/>
    <x v="1"/>
    <s v="AB-10060"/>
    <s v="Adam Bellavance"/>
    <x v="2"/>
    <s v="United States"/>
    <x v="15"/>
    <x v="13"/>
    <x v="1"/>
    <s v="FUR-CH-10003312"/>
    <s v="Furniture"/>
    <x v="1"/>
    <s v="Hon 2090 ÒPillow SoftÓ Series Mid Back Swivel/Tilt Chairs"/>
    <n v="449.56799999999998"/>
    <n v="2"/>
    <n v="-73.0548"/>
    <x v="1"/>
    <x v="0"/>
  </r>
  <r>
    <x v="1445"/>
    <x v="601"/>
    <d v="2015-08-06T00:00:00"/>
    <x v="1"/>
    <s v="DK-12985"/>
    <s v="Darren Koutras"/>
    <x v="0"/>
    <s v="United States"/>
    <x v="76"/>
    <x v="36"/>
    <x v="1"/>
    <s v="FUR-TA-10003469"/>
    <s v="Furniture"/>
    <x v="2"/>
    <s v="Balt Split Level Computer Training Table"/>
    <n v="277.5"/>
    <n v="4"/>
    <n v="-188.7"/>
    <x v="4"/>
    <x v="10"/>
  </r>
  <r>
    <x v="1446"/>
    <x v="32"/>
    <d v="2015-11-25T00:00:00"/>
    <x v="1"/>
    <s v="SS-20410"/>
    <s v="Shahid Shariari"/>
    <x v="0"/>
    <s v="United States"/>
    <x v="3"/>
    <x v="3"/>
    <x v="2"/>
    <s v="FUR-TA-10002958"/>
    <s v="Furniture"/>
    <x v="2"/>
    <s v="Bevis Oval Conference Table, Walnut"/>
    <n v="1252.704"/>
    <n v="8"/>
    <n v="-480.20319999999998"/>
    <x v="4"/>
    <x v="0"/>
  </r>
  <r>
    <x v="1447"/>
    <x v="514"/>
    <d v="2017-05-22T00:00:00"/>
    <x v="1"/>
    <s v="BM-11575"/>
    <s v="Brendan Murry"/>
    <x v="1"/>
    <s v="United States"/>
    <x v="9"/>
    <x v="8"/>
    <x v="3"/>
    <s v="FUR-FU-10004973"/>
    <s v="Furniture"/>
    <x v="3"/>
    <s v="Flat Face Poster Frame"/>
    <n v="22.608000000000001"/>
    <n v="3"/>
    <n v="-10.1736"/>
    <x v="4"/>
    <x v="7"/>
  </r>
  <r>
    <x v="1447"/>
    <x v="514"/>
    <d v="2017-05-22T00:00:00"/>
    <x v="1"/>
    <s v="BM-11575"/>
    <s v="Brendan Murry"/>
    <x v="1"/>
    <s v="United States"/>
    <x v="9"/>
    <x v="8"/>
    <x v="3"/>
    <s v="FUR-FU-10001918"/>
    <s v="Furniture"/>
    <x v="3"/>
    <s v="C-Line Cubicle Keepers Polyproplyene Holder With Velcro Backings"/>
    <n v="1.8919999999999999"/>
    <n v="1"/>
    <n v="-0.99329999999999996"/>
    <x v="4"/>
    <x v="7"/>
  </r>
  <r>
    <x v="1448"/>
    <x v="615"/>
    <d v="2015-09-17T00:00:00"/>
    <x v="0"/>
    <s v="AG-10900"/>
    <s v="Arthur Gainer"/>
    <x v="0"/>
    <s v="United States"/>
    <x v="9"/>
    <x v="8"/>
    <x v="3"/>
    <s v="FUR-CH-10003817"/>
    <s v="Furniture"/>
    <x v="1"/>
    <s v="Global Value Steno Chair, Gray"/>
    <n v="170.072"/>
    <n v="4"/>
    <n v="-12.148"/>
    <x v="4"/>
    <x v="4"/>
  </r>
  <r>
    <x v="1449"/>
    <x v="429"/>
    <d v="2017-11-21T00:00:00"/>
    <x v="1"/>
    <s v="CC-12370"/>
    <s v="Christopher Conant"/>
    <x v="0"/>
    <s v="United States"/>
    <x v="13"/>
    <x v="7"/>
    <x v="2"/>
    <s v="FUR-FU-10004091"/>
    <s v="Furniture"/>
    <x v="3"/>
    <s v="Howard Miller 13&quot; Diameter Goldtone Round Wall Clock"/>
    <n v="187.76"/>
    <n v="4"/>
    <n v="76.9816"/>
    <x v="4"/>
    <x v="0"/>
  </r>
  <r>
    <x v="1450"/>
    <x v="737"/>
    <d v="2015-12-03T00:00:00"/>
    <x v="2"/>
    <s v="LR-16915"/>
    <s v="Lena Radford"/>
    <x v="0"/>
    <s v="United States"/>
    <x v="339"/>
    <x v="30"/>
    <x v="0"/>
    <s v="FUR-FU-10000576"/>
    <s v="Furniture"/>
    <x v="3"/>
    <s v="Luxo Professional Fluorescent Magnifier Lamp with Clamp-Mount Base"/>
    <n v="335.74400000000003"/>
    <n v="2"/>
    <n v="25.180800000000001"/>
    <x v="0"/>
    <x v="0"/>
  </r>
  <r>
    <x v="1451"/>
    <x v="428"/>
    <d v="2015-11-08T00:00:00"/>
    <x v="3"/>
    <s v="KD-16495"/>
    <s v="Keith Dawkins"/>
    <x v="1"/>
    <s v="United States"/>
    <x v="13"/>
    <x v="7"/>
    <x v="2"/>
    <s v="FUR-FU-10002240"/>
    <s v="Furniture"/>
    <x v="3"/>
    <s v="Nu-Dell EZ-Mount Plastic Wall Frames"/>
    <n v="11.82"/>
    <n v="3"/>
    <n v="4.7279999999999998"/>
    <x v="7"/>
    <x v="0"/>
  </r>
  <r>
    <x v="1451"/>
    <x v="428"/>
    <d v="2015-11-08T00:00:00"/>
    <x v="3"/>
    <s v="KD-16495"/>
    <s v="Keith Dawkins"/>
    <x v="1"/>
    <s v="United States"/>
    <x v="13"/>
    <x v="7"/>
    <x v="2"/>
    <s v="FUR-CH-10003746"/>
    <s v="Furniture"/>
    <x v="1"/>
    <s v="Hon 4070 Series Pagoda Round Back Stacking Chairs"/>
    <n v="577.76400000000001"/>
    <n v="2"/>
    <n v="115.5528"/>
    <x v="7"/>
    <x v="0"/>
  </r>
  <r>
    <x v="1452"/>
    <x v="12"/>
    <d v="2015-04-30T00:00:00"/>
    <x v="1"/>
    <s v="SA-20830"/>
    <s v="Sue Ann Reed"/>
    <x v="0"/>
    <s v="United States"/>
    <x v="340"/>
    <x v="1"/>
    <x v="0"/>
    <s v="FUR-TA-10000577"/>
    <s v="Furniture"/>
    <x v="2"/>
    <s v="Bretford CR4500 Series Slim Rectangular Table"/>
    <n v="191.5155"/>
    <n v="1"/>
    <n v="-76.606200000000001"/>
    <x v="4"/>
    <x v="6"/>
  </r>
  <r>
    <x v="1453"/>
    <x v="267"/>
    <d v="2016-11-12T00:00:00"/>
    <x v="1"/>
    <s v="MC-17845"/>
    <s v="Michael Chen"/>
    <x v="0"/>
    <s v="United States"/>
    <x v="144"/>
    <x v="5"/>
    <x v="3"/>
    <s v="FUR-FU-10002030"/>
    <s v="Furniture"/>
    <x v="3"/>
    <s v="Executive Impressions 14&quot; Contract Wall Clock with Quartz Movement"/>
    <n v="44.46"/>
    <n v="5"/>
    <n v="-17.783999999999999"/>
    <x v="2"/>
    <x v="0"/>
  </r>
  <r>
    <x v="1454"/>
    <x v="215"/>
    <d v="2014-10-07T00:00:00"/>
    <x v="1"/>
    <s v="RD-19930"/>
    <s v="Russell D'Ascenzo"/>
    <x v="0"/>
    <s v="United States"/>
    <x v="144"/>
    <x v="5"/>
    <x v="3"/>
    <s v="FUR-FU-10000758"/>
    <s v="Furniture"/>
    <x v="3"/>
    <s v="DAX Natural Wood-Tone Poster Frame"/>
    <n v="31.776"/>
    <n v="3"/>
    <n v="-19.0656"/>
    <x v="4"/>
    <x v="1"/>
  </r>
  <r>
    <x v="1455"/>
    <x v="804"/>
    <d v="2016-04-08T00:00:00"/>
    <x v="0"/>
    <s v="BC-11125"/>
    <s v="Becky Castell"/>
    <x v="2"/>
    <s v="United States"/>
    <x v="8"/>
    <x v="7"/>
    <x v="2"/>
    <s v="FUR-FU-10000723"/>
    <s v="Furniture"/>
    <x v="3"/>
    <s v="Deflect-o EconoMat Studded, No Bevel Mat for Low Pile Carpeting"/>
    <n v="82.64"/>
    <n v="2"/>
    <n v="7.4375999999999998"/>
    <x v="4"/>
    <x v="6"/>
  </r>
  <r>
    <x v="1456"/>
    <x v="805"/>
    <d v="2016-07-02T00:00:00"/>
    <x v="0"/>
    <s v="PF-19165"/>
    <s v="Philip Fox"/>
    <x v="0"/>
    <s v="United States"/>
    <x v="244"/>
    <x v="24"/>
    <x v="0"/>
    <s v="FUR-BO-10004695"/>
    <s v="Furniture"/>
    <x v="0"/>
    <s v="O'Sullivan 2-Door Barrister Bookcase in Odessa Pine"/>
    <n v="1266.8599999999999"/>
    <n v="7"/>
    <n v="291.37779999999998"/>
    <x v="3"/>
    <x v="2"/>
  </r>
  <r>
    <x v="1457"/>
    <x v="806"/>
    <d v="2017-05-06T00:00:00"/>
    <x v="1"/>
    <s v="CJ-12010"/>
    <s v="Caroline Jumper"/>
    <x v="0"/>
    <s v="United States"/>
    <x v="51"/>
    <x v="1"/>
    <x v="0"/>
    <s v="FUR-TA-10001889"/>
    <s v="Furniture"/>
    <x v="2"/>
    <s v="Bush Advantage Collection Racetrack Conference Table"/>
    <n v="933.26199999999994"/>
    <n v="4"/>
    <n v="-458.14679999999998"/>
    <x v="2"/>
    <x v="7"/>
  </r>
  <r>
    <x v="1457"/>
    <x v="806"/>
    <d v="2017-05-06T00:00:00"/>
    <x v="1"/>
    <s v="CJ-12010"/>
    <s v="Caroline Jumper"/>
    <x v="0"/>
    <s v="United States"/>
    <x v="51"/>
    <x v="1"/>
    <x v="0"/>
    <s v="FUR-CH-10002024"/>
    <s v="Furniture"/>
    <x v="1"/>
    <s v="HON 5400 Series Task Chairs for Big and Tall"/>
    <n v="2803.92"/>
    <n v="5"/>
    <n v="0"/>
    <x v="2"/>
    <x v="7"/>
  </r>
  <r>
    <x v="1458"/>
    <x v="71"/>
    <d v="2017-10-20T00:00:00"/>
    <x v="3"/>
    <s v="PT-19090"/>
    <s v="Pete Takahito"/>
    <x v="0"/>
    <s v="United States"/>
    <x v="51"/>
    <x v="1"/>
    <x v="0"/>
    <s v="FUR-FU-10000175"/>
    <s v="Furniture"/>
    <x v="3"/>
    <s v="DAX Wood Document Frame."/>
    <n v="43.936"/>
    <n v="4"/>
    <n v="6.0411999999999999"/>
    <x v="7"/>
    <x v="1"/>
  </r>
  <r>
    <x v="1459"/>
    <x v="807"/>
    <d v="2014-08-16T00:00:00"/>
    <x v="1"/>
    <s v="BW-11200"/>
    <s v="Ben Wallace"/>
    <x v="0"/>
    <s v="United States"/>
    <x v="28"/>
    <x v="2"/>
    <x v="1"/>
    <s v="FUR-FU-10002878"/>
    <s v="Furniture"/>
    <x v="3"/>
    <s v="Seth Thomas 14&quot; Day/Date Wall Clock"/>
    <n v="85.44"/>
    <n v="3"/>
    <n v="31.6128"/>
    <x v="4"/>
    <x v="10"/>
  </r>
  <r>
    <x v="1460"/>
    <x v="298"/>
    <d v="2015-03-09T00:00:00"/>
    <x v="0"/>
    <s v="MS-17365"/>
    <s v="Maribeth Schnelling"/>
    <x v="0"/>
    <s v="United States"/>
    <x v="9"/>
    <x v="8"/>
    <x v="3"/>
    <s v="FUR-FU-10000023"/>
    <s v="Furniture"/>
    <x v="3"/>
    <s v="Eldon Wave Desk Accessories"/>
    <n v="4.7119999999999997"/>
    <n v="2"/>
    <n v="-1.8848"/>
    <x v="4"/>
    <x v="9"/>
  </r>
  <r>
    <x v="1461"/>
    <x v="129"/>
    <d v="2017-02-06T00:00:00"/>
    <x v="1"/>
    <s v="LP-17095"/>
    <s v="Liz Preis"/>
    <x v="0"/>
    <s v="United States"/>
    <x v="14"/>
    <x v="8"/>
    <x v="3"/>
    <s v="FUR-TA-10003469"/>
    <s v="Furniture"/>
    <x v="2"/>
    <s v="Balt Split Level Computer Training Table"/>
    <n v="69.375"/>
    <n v="1"/>
    <n v="-47.174999999999997"/>
    <x v="1"/>
    <x v="8"/>
  </r>
  <r>
    <x v="1462"/>
    <x v="683"/>
    <d v="2016-12-31T00:00:00"/>
    <x v="1"/>
    <s v="JE-15715"/>
    <s v="Joe Elijah"/>
    <x v="0"/>
    <s v="United States"/>
    <x v="13"/>
    <x v="7"/>
    <x v="2"/>
    <s v="FUR-CH-10002331"/>
    <s v="Furniture"/>
    <x v="1"/>
    <s v="Hon 4700 Series Mobuis Mid-Back Task Chairs with Adjustable Arms"/>
    <n v="2563.056"/>
    <n v="8"/>
    <n v="313.26240000000001"/>
    <x v="6"/>
    <x v="5"/>
  </r>
  <r>
    <x v="1463"/>
    <x v="697"/>
    <d v="2016-10-25T00:00:00"/>
    <x v="1"/>
    <s v="MY-18295"/>
    <s v="Muhammed Yedwab"/>
    <x v="1"/>
    <s v="United States"/>
    <x v="311"/>
    <x v="2"/>
    <x v="1"/>
    <s v="FUR-CH-10001802"/>
    <s v="Furniture"/>
    <x v="1"/>
    <s v="Hon Every-Day Chair Series Swivel Task Chairs"/>
    <n v="387.13600000000002"/>
    <n v="4"/>
    <n v="4.8391999999999999"/>
    <x v="2"/>
    <x v="1"/>
  </r>
  <r>
    <x v="1464"/>
    <x v="808"/>
    <d v="2017-05-10T00:00:00"/>
    <x v="2"/>
    <s v="MC-17605"/>
    <s v="Matt Connell"/>
    <x v="1"/>
    <s v="United States"/>
    <x v="51"/>
    <x v="30"/>
    <x v="0"/>
    <s v="FUR-CH-10001270"/>
    <s v="Furniture"/>
    <x v="1"/>
    <s v="Harbour Creations Steel Folding Chair"/>
    <n v="207"/>
    <n v="3"/>
    <n v="25.875"/>
    <x v="5"/>
    <x v="7"/>
  </r>
  <r>
    <x v="1465"/>
    <x v="170"/>
    <d v="2015-12-26T00:00:00"/>
    <x v="0"/>
    <s v="SZ-20035"/>
    <s v="Sam Zeldin"/>
    <x v="2"/>
    <s v="United States"/>
    <x v="317"/>
    <x v="8"/>
    <x v="3"/>
    <s v="FUR-FU-10003039"/>
    <s v="Furniture"/>
    <x v="3"/>
    <s v="Howard Miller 11-1/2&quot; Diameter Grantwood Wall Clock"/>
    <n v="51.756"/>
    <n v="3"/>
    <n v="-33.641399999999997"/>
    <x v="2"/>
    <x v="5"/>
  </r>
  <r>
    <x v="1466"/>
    <x v="379"/>
    <d v="2015-07-11T00:00:00"/>
    <x v="1"/>
    <s v="RS-19765"/>
    <s v="Roland Schwarz"/>
    <x v="1"/>
    <s v="United States"/>
    <x v="127"/>
    <x v="30"/>
    <x v="0"/>
    <s v="FUR-FU-10003829"/>
    <s v="Furniture"/>
    <x v="3"/>
    <s v="Stackable Trays"/>
    <n v="4.9279999999999999"/>
    <n v="2"/>
    <n v="0.73919999999999997"/>
    <x v="6"/>
    <x v="3"/>
  </r>
  <r>
    <x v="1467"/>
    <x v="809"/>
    <d v="2017-08-01T00:00:00"/>
    <x v="1"/>
    <s v="GZ-14545"/>
    <s v="George Zrebassa"/>
    <x v="1"/>
    <s v="United States"/>
    <x v="2"/>
    <x v="2"/>
    <x v="1"/>
    <s v="FUR-CH-10000665"/>
    <s v="Furniture"/>
    <x v="1"/>
    <s v="Global Airflow Leather Mesh Back Chair, Black"/>
    <n v="362.35199999999998"/>
    <n v="3"/>
    <n v="45.293999999999997"/>
    <x v="6"/>
    <x v="3"/>
  </r>
  <r>
    <x v="1468"/>
    <x v="54"/>
    <d v="2017-11-09T00:00:00"/>
    <x v="1"/>
    <s v="BG-11740"/>
    <s v="Bruce Geld"/>
    <x v="0"/>
    <s v="United States"/>
    <x v="175"/>
    <x v="2"/>
    <x v="1"/>
    <s v="FUR-TA-10001086"/>
    <s v="Furniture"/>
    <x v="2"/>
    <s v="SAFCO PlanMaster Boards, 60w x 37-1/2d, White Melamine"/>
    <n v="486.36799999999999"/>
    <n v="4"/>
    <n v="36.477600000000002"/>
    <x v="6"/>
    <x v="0"/>
  </r>
  <r>
    <x v="1469"/>
    <x v="29"/>
    <d v="2014-03-07T00:00:00"/>
    <x v="1"/>
    <s v="GW-14605"/>
    <s v="Giulietta Weimer"/>
    <x v="0"/>
    <s v="United States"/>
    <x v="6"/>
    <x v="5"/>
    <x v="3"/>
    <s v="FUR-TA-10001866"/>
    <s v="Furniture"/>
    <x v="2"/>
    <s v="Bevis Round Conference Room Tables and Bases"/>
    <n v="376.50900000000001"/>
    <n v="3"/>
    <n v="-43.029600000000002"/>
    <x v="6"/>
    <x v="9"/>
  </r>
  <r>
    <x v="1470"/>
    <x v="810"/>
    <d v="2017-01-31T00:00:00"/>
    <x v="1"/>
    <s v="BD-11500"/>
    <s v="Bradley Drucker"/>
    <x v="0"/>
    <s v="United States"/>
    <x v="29"/>
    <x v="24"/>
    <x v="0"/>
    <s v="FUR-FU-10002157"/>
    <s v="Furniture"/>
    <x v="3"/>
    <s v="Artistic Insta-Plaque"/>
    <n v="62.72"/>
    <n v="4"/>
    <n v="24.460799999999999"/>
    <x v="2"/>
    <x v="8"/>
  </r>
  <r>
    <x v="1471"/>
    <x v="56"/>
    <d v="2014-07-16T00:00:00"/>
    <x v="1"/>
    <s v="PV-18985"/>
    <s v="Paul Van Hugh"/>
    <x v="2"/>
    <s v="United States"/>
    <x v="256"/>
    <x v="5"/>
    <x v="3"/>
    <s v="FUR-CH-10002126"/>
    <s v="Furniture"/>
    <x v="1"/>
    <s v="Hon Deluxe Fabric Upholstered Stacking Chairs"/>
    <n v="512.35799999999995"/>
    <n v="3"/>
    <n v="-14.6388"/>
    <x v="4"/>
    <x v="3"/>
  </r>
  <r>
    <x v="1472"/>
    <x v="811"/>
    <d v="2016-03-12T00:00:00"/>
    <x v="2"/>
    <s v="PS-18760"/>
    <s v="Pamela Stobb"/>
    <x v="0"/>
    <s v="United States"/>
    <x v="341"/>
    <x v="20"/>
    <x v="2"/>
    <s v="FUR-CH-10002647"/>
    <s v="Furniture"/>
    <x v="1"/>
    <s v="Situations Contoured Folding Chairs, 4/Set"/>
    <n v="354.9"/>
    <n v="5"/>
    <n v="88.724999999999994"/>
    <x v="0"/>
    <x v="9"/>
  </r>
  <r>
    <x v="1473"/>
    <x v="812"/>
    <d v="2017-04-17T00:00:00"/>
    <x v="1"/>
    <s v="YS-21880"/>
    <s v="Yana Sorensen"/>
    <x v="1"/>
    <s v="United States"/>
    <x v="170"/>
    <x v="2"/>
    <x v="1"/>
    <s v="FUR-CH-10003774"/>
    <s v="Furniture"/>
    <x v="1"/>
    <s v="Global Wood Trimmed Manager's Task Chair, Khaki"/>
    <n v="436.70400000000001"/>
    <n v="6"/>
    <n v="-38.211599999999997"/>
    <x v="4"/>
    <x v="6"/>
  </r>
  <r>
    <x v="1474"/>
    <x v="813"/>
    <d v="2014-03-25T00:00:00"/>
    <x v="1"/>
    <s v="GM-14440"/>
    <s v="Gary McGarr"/>
    <x v="0"/>
    <s v="United States"/>
    <x v="270"/>
    <x v="9"/>
    <x v="0"/>
    <s v="FUR-FU-10001473"/>
    <s v="Furniture"/>
    <x v="3"/>
    <s v="DAX Wood Document Frame"/>
    <n v="32.951999999999998"/>
    <n v="3"/>
    <n v="6.5903999999999998"/>
    <x v="4"/>
    <x v="9"/>
  </r>
  <r>
    <x v="1474"/>
    <x v="813"/>
    <d v="2014-03-25T00:00:00"/>
    <x v="1"/>
    <s v="GM-14440"/>
    <s v="Gary McGarr"/>
    <x v="0"/>
    <s v="United States"/>
    <x v="270"/>
    <x v="9"/>
    <x v="0"/>
    <s v="FUR-CH-10000422"/>
    <s v="Furniture"/>
    <x v="1"/>
    <s v="Global Highback Leather Tilter in Burgundy"/>
    <n v="218.376"/>
    <n v="3"/>
    <n v="-10.918799999999999"/>
    <x v="4"/>
    <x v="9"/>
  </r>
  <r>
    <x v="1475"/>
    <x v="11"/>
    <d v="2015-05-04T00:00:00"/>
    <x v="1"/>
    <s v="JW-15220"/>
    <s v="Jane Waco"/>
    <x v="1"/>
    <s v="United States"/>
    <x v="37"/>
    <x v="20"/>
    <x v="2"/>
    <s v="FUR-FU-10002960"/>
    <s v="Furniture"/>
    <x v="3"/>
    <s v="Eldon 200 Class Desk Accessories, Burgundy"/>
    <n v="31.4"/>
    <n v="5"/>
    <n v="13.188000000000001"/>
    <x v="4"/>
    <x v="6"/>
  </r>
  <r>
    <x v="1475"/>
    <x v="11"/>
    <d v="2015-05-04T00:00:00"/>
    <x v="1"/>
    <s v="JW-15220"/>
    <s v="Jane Waco"/>
    <x v="1"/>
    <s v="United States"/>
    <x v="37"/>
    <x v="20"/>
    <x v="2"/>
    <s v="FUR-FU-10002445"/>
    <s v="Furniture"/>
    <x v="3"/>
    <s v="DAX Two-Tone Rosewood/Black Document Frame, Desktop, 5 x 7"/>
    <n v="9.48"/>
    <n v="1"/>
    <n v="3.7919999999999998"/>
    <x v="4"/>
    <x v="6"/>
  </r>
  <r>
    <x v="1475"/>
    <x v="11"/>
    <d v="2015-05-04T00:00:00"/>
    <x v="1"/>
    <s v="JW-15220"/>
    <s v="Jane Waco"/>
    <x v="1"/>
    <s v="United States"/>
    <x v="37"/>
    <x v="20"/>
    <x v="2"/>
    <s v="FUR-FU-10001025"/>
    <s v="Furniture"/>
    <x v="3"/>
    <s v="Eldon Imˆge Series Desk Accessories, Clear"/>
    <n v="24.3"/>
    <n v="5"/>
    <n v="10.449"/>
    <x v="4"/>
    <x v="6"/>
  </r>
  <r>
    <x v="1476"/>
    <x v="814"/>
    <d v="2017-05-08T00:00:00"/>
    <x v="1"/>
    <s v="BO-11350"/>
    <s v="Bill Overfelt"/>
    <x v="1"/>
    <s v="United States"/>
    <x v="3"/>
    <x v="3"/>
    <x v="2"/>
    <s v="FUR-FU-10004245"/>
    <s v="Furniture"/>
    <x v="3"/>
    <s v="Career Cubicle Clock, 8 1/4&quot;, Black"/>
    <n v="32.448"/>
    <n v="2"/>
    <n v="7.3007999999999997"/>
    <x v="2"/>
    <x v="7"/>
  </r>
  <r>
    <x v="1476"/>
    <x v="814"/>
    <d v="2017-05-08T00:00:00"/>
    <x v="1"/>
    <s v="BO-11350"/>
    <s v="Bill Overfelt"/>
    <x v="1"/>
    <s v="United States"/>
    <x v="3"/>
    <x v="3"/>
    <x v="2"/>
    <s v="FUR-TA-10003748"/>
    <s v="Furniture"/>
    <x v="2"/>
    <s v="Bevis 36 x 72 Conference Tables"/>
    <n v="373.47"/>
    <n v="5"/>
    <n v="-112.041"/>
    <x v="2"/>
    <x v="7"/>
  </r>
  <r>
    <x v="1477"/>
    <x v="238"/>
    <d v="2016-08-30T00:00:00"/>
    <x v="1"/>
    <s v="XP-21865"/>
    <s v="Xylona Preis"/>
    <x v="0"/>
    <s v="United States"/>
    <x v="342"/>
    <x v="24"/>
    <x v="0"/>
    <s v="FUR-FU-10000308"/>
    <s v="Furniture"/>
    <x v="3"/>
    <s v="Deflect-o Glass Clear Studded Chair Mats"/>
    <n v="186.54"/>
    <n v="3"/>
    <n v="41.038800000000002"/>
    <x v="4"/>
    <x v="10"/>
  </r>
  <r>
    <x v="1478"/>
    <x v="815"/>
    <d v="2017-01-04T00:00:00"/>
    <x v="0"/>
    <s v="TS-21655"/>
    <s v="Trudy Schmidt"/>
    <x v="0"/>
    <s v="United States"/>
    <x v="116"/>
    <x v="5"/>
    <x v="3"/>
    <s v="FUR-TA-10002958"/>
    <s v="Furniture"/>
    <x v="2"/>
    <s v="Bevis Oval Conference Table, Walnut"/>
    <n v="913.43"/>
    <n v="5"/>
    <n v="-169.637"/>
    <x v="3"/>
    <x v="8"/>
  </r>
  <r>
    <x v="1479"/>
    <x v="354"/>
    <d v="2016-06-16T00:00:00"/>
    <x v="1"/>
    <s v="SV-20365"/>
    <s v="Seth Vernon"/>
    <x v="0"/>
    <s v="United States"/>
    <x v="2"/>
    <x v="2"/>
    <x v="1"/>
    <s v="FUR-TA-10003473"/>
    <s v="Furniture"/>
    <x v="2"/>
    <s v="Bretford Rectangular Conference Table Tops"/>
    <n v="902.71199999999999"/>
    <n v="3"/>
    <n v="33.851700000000001"/>
    <x v="2"/>
    <x v="2"/>
  </r>
  <r>
    <x v="1480"/>
    <x v="816"/>
    <d v="2016-10-21T00:00:00"/>
    <x v="1"/>
    <s v="MG-17890"/>
    <s v="Michael Granlund"/>
    <x v="2"/>
    <s v="United States"/>
    <x v="99"/>
    <x v="2"/>
    <x v="1"/>
    <s v="FUR-BO-10003894"/>
    <s v="Furniture"/>
    <x v="0"/>
    <s v="Safco Value Mate Steel Bookcase, Baked Enamel Finish on Steel, Black"/>
    <n v="120.666"/>
    <n v="2"/>
    <n v="21.294"/>
    <x v="4"/>
    <x v="1"/>
  </r>
  <r>
    <x v="1481"/>
    <x v="243"/>
    <d v="2016-12-01T00:00:00"/>
    <x v="1"/>
    <s v="SC-20680"/>
    <s v="Steve Carroll"/>
    <x v="2"/>
    <s v="United States"/>
    <x v="15"/>
    <x v="13"/>
    <x v="1"/>
    <s v="FUR-FU-10003535"/>
    <s v="Furniture"/>
    <x v="3"/>
    <s v="Howard Miller Distant Time Traveler Alarm Clock"/>
    <n v="82.26"/>
    <n v="3"/>
    <n v="33.726599999999998"/>
    <x v="1"/>
    <x v="0"/>
  </r>
  <r>
    <x v="1482"/>
    <x v="817"/>
    <d v="2016-02-15T00:00:00"/>
    <x v="1"/>
    <s v="MH-17440"/>
    <s v="Mark Haberlin"/>
    <x v="1"/>
    <s v="United States"/>
    <x v="6"/>
    <x v="5"/>
    <x v="3"/>
    <s v="FUR-CH-10001270"/>
    <s v="Furniture"/>
    <x v="1"/>
    <s v="Harbour Creations Steel Folding Chair"/>
    <n v="241.5"/>
    <n v="4"/>
    <n v="0"/>
    <x v="1"/>
    <x v="11"/>
  </r>
  <r>
    <x v="1483"/>
    <x v="340"/>
    <d v="2017-12-30T00:00:00"/>
    <x v="1"/>
    <s v="JB-16045"/>
    <s v="Julia Barnett"/>
    <x v="2"/>
    <s v="United States"/>
    <x v="343"/>
    <x v="19"/>
    <x v="2"/>
    <s v="FUR-FU-10001473"/>
    <s v="Furniture"/>
    <x v="3"/>
    <s v="DAX Wood Document Frame"/>
    <n v="27.46"/>
    <n v="2"/>
    <n v="9.8856000000000002"/>
    <x v="1"/>
    <x v="5"/>
  </r>
  <r>
    <x v="1484"/>
    <x v="193"/>
    <d v="2016-12-06T00:00:00"/>
    <x v="0"/>
    <s v="EJ-14155"/>
    <s v="Eva Jacobs"/>
    <x v="0"/>
    <s v="United States"/>
    <x v="20"/>
    <x v="20"/>
    <x v="2"/>
    <s v="FUR-FU-10002045"/>
    <s v="Furniture"/>
    <x v="3"/>
    <s v="Executive Impressions 14&quot;"/>
    <n v="111.15"/>
    <n v="5"/>
    <n v="48.905999999999999"/>
    <x v="2"/>
    <x v="5"/>
  </r>
  <r>
    <x v="1484"/>
    <x v="193"/>
    <d v="2016-12-06T00:00:00"/>
    <x v="0"/>
    <s v="EJ-14155"/>
    <s v="Eva Jacobs"/>
    <x v="0"/>
    <s v="United States"/>
    <x v="20"/>
    <x v="20"/>
    <x v="2"/>
    <s v="FUR-TA-10001095"/>
    <s v="Furniture"/>
    <x v="2"/>
    <s v="Chromcraft Round Conference Tables"/>
    <n v="366.00900000000001"/>
    <n v="3"/>
    <n v="-47.058300000000003"/>
    <x v="2"/>
    <x v="5"/>
  </r>
  <r>
    <x v="1485"/>
    <x v="575"/>
    <d v="2017-11-07T00:00:00"/>
    <x v="0"/>
    <s v="SR-20425"/>
    <s v="Sharelle Roach"/>
    <x v="2"/>
    <s v="United States"/>
    <x v="76"/>
    <x v="15"/>
    <x v="2"/>
    <s v="FUR-CH-10001973"/>
    <s v="Furniture"/>
    <x v="1"/>
    <s v="Office Star Flex Back Scooter Chair with White Frame"/>
    <n v="155.37200000000001"/>
    <n v="2"/>
    <n v="-35.513599999999997"/>
    <x v="2"/>
    <x v="0"/>
  </r>
  <r>
    <x v="1486"/>
    <x v="482"/>
    <d v="2015-12-09T00:00:00"/>
    <x v="0"/>
    <s v="BD-11635"/>
    <s v="Brian Derr"/>
    <x v="0"/>
    <s v="United States"/>
    <x v="13"/>
    <x v="7"/>
    <x v="2"/>
    <s v="FUR-CH-10003535"/>
    <s v="Furniture"/>
    <x v="1"/>
    <s v="Global Armless Task Chair, Royal Blue"/>
    <n v="164.64599999999999"/>
    <n v="3"/>
    <n v="12.8058"/>
    <x v="4"/>
    <x v="5"/>
  </r>
  <r>
    <x v="1487"/>
    <x v="220"/>
    <d v="2017-07-12T00:00:00"/>
    <x v="1"/>
    <s v="HE-14800"/>
    <s v="Harold Engle"/>
    <x v="1"/>
    <s v="United States"/>
    <x v="19"/>
    <x v="14"/>
    <x v="2"/>
    <s v="FUR-FU-10003247"/>
    <s v="Furniture"/>
    <x v="3"/>
    <s v="36X48 HARDFLOOR CHAIRMAT"/>
    <n v="83.92"/>
    <n v="4"/>
    <n v="5.8743999999999996"/>
    <x v="4"/>
    <x v="3"/>
  </r>
  <r>
    <x v="1487"/>
    <x v="220"/>
    <d v="2017-07-12T00:00:00"/>
    <x v="1"/>
    <s v="HE-14800"/>
    <s v="Harold Engle"/>
    <x v="1"/>
    <s v="United States"/>
    <x v="19"/>
    <x v="14"/>
    <x v="2"/>
    <s v="FUR-FU-10001057"/>
    <s v="Furniture"/>
    <x v="3"/>
    <s v="Tensor Track Tree Floor Lamp"/>
    <n v="39.979999999999997"/>
    <n v="2"/>
    <n v="9.1953999999999994"/>
    <x v="4"/>
    <x v="3"/>
  </r>
  <r>
    <x v="1488"/>
    <x v="818"/>
    <d v="2016-11-15T00:00:00"/>
    <x v="3"/>
    <s v="ON-18715"/>
    <s v="Odella Nelson"/>
    <x v="1"/>
    <s v="United States"/>
    <x v="259"/>
    <x v="30"/>
    <x v="0"/>
    <s v="FUR-TA-10001768"/>
    <s v="Furniture"/>
    <x v="2"/>
    <s v="Hon Racetrack Conference Tables"/>
    <n v="630.024"/>
    <n v="4"/>
    <n v="-199.5076"/>
    <x v="7"/>
    <x v="0"/>
  </r>
  <r>
    <x v="1489"/>
    <x v="203"/>
    <d v="2017-03-14T00:00:00"/>
    <x v="1"/>
    <s v="MD-17350"/>
    <s v="Maribeth Dona"/>
    <x v="0"/>
    <s v="United States"/>
    <x v="144"/>
    <x v="5"/>
    <x v="3"/>
    <s v="FUR-TA-10002228"/>
    <s v="Furniture"/>
    <x v="2"/>
    <s v="Bevis Traditional Conference Table Top, Plinth Base"/>
    <n v="933.40800000000002"/>
    <n v="4"/>
    <n v="-173.34719999999999"/>
    <x v="4"/>
    <x v="9"/>
  </r>
  <r>
    <x v="1490"/>
    <x v="808"/>
    <d v="2017-05-11T00:00:00"/>
    <x v="2"/>
    <s v="LB-16795"/>
    <s v="Laurel Beltran"/>
    <x v="2"/>
    <s v="United States"/>
    <x v="15"/>
    <x v="13"/>
    <x v="1"/>
    <s v="FUR-TA-10004154"/>
    <s v="Furniture"/>
    <x v="2"/>
    <s v="Riverside Furniture Oval Coffee Table, Oval End Table, End Table with Drawer"/>
    <n v="286.85000000000002"/>
    <n v="1"/>
    <n v="63.106999999999999"/>
    <x v="3"/>
    <x v="7"/>
  </r>
  <r>
    <x v="1491"/>
    <x v="176"/>
    <d v="2017-10-16T00:00:00"/>
    <x v="1"/>
    <s v="NP-18670"/>
    <s v="Nora Paige"/>
    <x v="0"/>
    <s v="United States"/>
    <x v="174"/>
    <x v="18"/>
    <x v="2"/>
    <s v="FUR-FU-10004053"/>
    <s v="Furniture"/>
    <x v="3"/>
    <s v="DAX Two-Tone Silver Metal Document Frame"/>
    <n v="40.479999999999997"/>
    <n v="2"/>
    <n v="17.406400000000001"/>
    <x v="4"/>
    <x v="1"/>
  </r>
  <r>
    <x v="1491"/>
    <x v="176"/>
    <d v="2017-10-16T00:00:00"/>
    <x v="1"/>
    <s v="NP-18670"/>
    <s v="Nora Paige"/>
    <x v="0"/>
    <s v="United States"/>
    <x v="174"/>
    <x v="18"/>
    <x v="2"/>
    <s v="FUR-BO-10003404"/>
    <s v="Furniture"/>
    <x v="0"/>
    <s v="Global Adaptabilites Bookcase, Cherry/Storm Gray Finish"/>
    <n v="2154.9"/>
    <n v="5"/>
    <n v="129.29400000000001"/>
    <x v="4"/>
    <x v="1"/>
  </r>
  <r>
    <x v="1492"/>
    <x v="645"/>
    <d v="2016-12-21T00:00:00"/>
    <x v="0"/>
    <s v="CL-12565"/>
    <s v="Clay Ludtke"/>
    <x v="0"/>
    <s v="United States"/>
    <x v="288"/>
    <x v="3"/>
    <x v="2"/>
    <s v="FUR-FU-10004904"/>
    <s v="Furniture"/>
    <x v="3"/>
    <s v="Eldon &quot;L&quot; Workstation Diamond Chairmat"/>
    <n v="303.92"/>
    <n v="5"/>
    <n v="-30.391999999999999"/>
    <x v="3"/>
    <x v="5"/>
  </r>
  <r>
    <x v="1493"/>
    <x v="819"/>
    <d v="2017-11-13T00:00:00"/>
    <x v="1"/>
    <s v="KN-16450"/>
    <s v="Kean Nguyen"/>
    <x v="1"/>
    <s v="United States"/>
    <x v="237"/>
    <x v="32"/>
    <x v="2"/>
    <s v="FUR-FU-10003535"/>
    <s v="Furniture"/>
    <x v="3"/>
    <s v="Howard Miller Distant Time Traveler Alarm Clock"/>
    <n v="274.2"/>
    <n v="10"/>
    <n v="112.422"/>
    <x v="2"/>
    <x v="0"/>
  </r>
  <r>
    <x v="1494"/>
    <x v="94"/>
    <d v="2014-09-18T00:00:00"/>
    <x v="0"/>
    <s v="SC-20260"/>
    <s v="Scott Cohen"/>
    <x v="1"/>
    <s v="United States"/>
    <x v="177"/>
    <x v="5"/>
    <x v="3"/>
    <s v="FUR-FU-10000550"/>
    <s v="Furniture"/>
    <x v="3"/>
    <s v="Stacking Trays by OIC"/>
    <n v="9.9600000000000009"/>
    <n v="5"/>
    <n v="-6.7229999999999999"/>
    <x v="4"/>
    <x v="4"/>
  </r>
  <r>
    <x v="1495"/>
    <x v="409"/>
    <d v="2017-10-24T00:00:00"/>
    <x v="2"/>
    <s v="AH-10075"/>
    <s v="Adam Hart"/>
    <x v="1"/>
    <s v="United States"/>
    <x v="236"/>
    <x v="38"/>
    <x v="2"/>
    <s v="FUR-TA-10001039"/>
    <s v="Furniture"/>
    <x v="2"/>
    <s v="KI Adjustable-Height Table"/>
    <n v="240.744"/>
    <n v="4"/>
    <n v="-13.7568"/>
    <x v="5"/>
    <x v="1"/>
  </r>
  <r>
    <x v="1495"/>
    <x v="409"/>
    <d v="2017-10-24T00:00:00"/>
    <x v="2"/>
    <s v="AH-10075"/>
    <s v="Adam Hart"/>
    <x v="1"/>
    <s v="United States"/>
    <x v="236"/>
    <x v="38"/>
    <x v="2"/>
    <s v="FUR-FU-10004963"/>
    <s v="Furniture"/>
    <x v="3"/>
    <s v="Eldon 400 Class Desk Accessories, Black Carbon"/>
    <n v="35"/>
    <n v="4"/>
    <n v="14.7"/>
    <x v="5"/>
    <x v="1"/>
  </r>
  <r>
    <x v="1495"/>
    <x v="409"/>
    <d v="2017-10-24T00:00:00"/>
    <x v="2"/>
    <s v="AH-10075"/>
    <s v="Adam Hart"/>
    <x v="1"/>
    <s v="United States"/>
    <x v="236"/>
    <x v="38"/>
    <x v="2"/>
    <s v="FUR-FU-10000277"/>
    <s v="Furniture"/>
    <x v="3"/>
    <s v="Deflect-o DuraMat Antistatic Studded Beveled Mat for Medium Pile Carpeting"/>
    <n v="210.68"/>
    <n v="2"/>
    <n v="50.563200000000002"/>
    <x v="5"/>
    <x v="1"/>
  </r>
  <r>
    <x v="1495"/>
    <x v="409"/>
    <d v="2017-10-24T00:00:00"/>
    <x v="2"/>
    <s v="AH-10075"/>
    <s v="Adam Hart"/>
    <x v="1"/>
    <s v="United States"/>
    <x v="236"/>
    <x v="38"/>
    <x v="2"/>
    <s v="FUR-TA-10004915"/>
    <s v="Furniture"/>
    <x v="2"/>
    <s v="Office Impressions End Table, 20-1/2&quot;H x 24&quot;W x 20&quot;D"/>
    <n v="637.89599999999996"/>
    <n v="3"/>
    <n v="-127.5792"/>
    <x v="5"/>
    <x v="1"/>
  </r>
  <r>
    <x v="1496"/>
    <x v="820"/>
    <d v="2016-04-23T00:00:00"/>
    <x v="1"/>
    <s v="TH-21115"/>
    <s v="Thea Hudgings"/>
    <x v="1"/>
    <s v="United States"/>
    <x v="6"/>
    <x v="5"/>
    <x v="3"/>
    <s v="FUR-CH-10002880"/>
    <s v="Furniture"/>
    <x v="1"/>
    <s v="Global High-Back Leather Tilter, Burgundy"/>
    <n v="344.37200000000001"/>
    <n v="4"/>
    <n v="-93.472399999999993"/>
    <x v="2"/>
    <x v="6"/>
  </r>
  <r>
    <x v="1496"/>
    <x v="820"/>
    <d v="2016-04-23T00:00:00"/>
    <x v="1"/>
    <s v="TH-21115"/>
    <s v="Thea Hudgings"/>
    <x v="1"/>
    <s v="United States"/>
    <x v="6"/>
    <x v="5"/>
    <x v="3"/>
    <s v="FUR-FU-10004748"/>
    <s v="Furniture"/>
    <x v="3"/>
    <s v="Howard Miller 16&quot; Diameter Gallery Wall Clock"/>
    <n v="127.88"/>
    <n v="5"/>
    <n v="-67.137"/>
    <x v="2"/>
    <x v="6"/>
  </r>
  <r>
    <x v="1497"/>
    <x v="15"/>
    <d v="2017-06-02T00:00:00"/>
    <x v="0"/>
    <s v="TH-21235"/>
    <s v="Tiffany House"/>
    <x v="1"/>
    <s v="United States"/>
    <x v="9"/>
    <x v="8"/>
    <x v="3"/>
    <s v="FUR-CH-10001146"/>
    <s v="Furniture"/>
    <x v="1"/>
    <s v="Global Task Chair, Black"/>
    <n v="106.869"/>
    <n v="3"/>
    <n v="-29.007300000000001"/>
    <x v="2"/>
    <x v="7"/>
  </r>
  <r>
    <x v="1498"/>
    <x v="367"/>
    <d v="2016-11-17T00:00:00"/>
    <x v="1"/>
    <s v="AS-10285"/>
    <s v="Alejandro Savely"/>
    <x v="1"/>
    <s v="United States"/>
    <x v="344"/>
    <x v="6"/>
    <x v="3"/>
    <s v="FUR-TA-10001950"/>
    <s v="Furniture"/>
    <x v="2"/>
    <s v="Balt Solid Wood Round Tables"/>
    <n v="2678.94"/>
    <n v="6"/>
    <n v="241.1046"/>
    <x v="6"/>
    <x v="0"/>
  </r>
  <r>
    <x v="1499"/>
    <x v="748"/>
    <d v="2017-04-27T00:00:00"/>
    <x v="1"/>
    <s v="PN-18775"/>
    <s v="Parhena Norris"/>
    <x v="2"/>
    <s v="United States"/>
    <x v="345"/>
    <x v="9"/>
    <x v="0"/>
    <s v="FUR-BO-10001972"/>
    <s v="Furniture"/>
    <x v="0"/>
    <s v="O'Sullivan 4-Shelf Bookcase in Odessa Pine"/>
    <n v="387.13600000000002"/>
    <n v="4"/>
    <n v="-14.5176"/>
    <x v="4"/>
    <x v="6"/>
  </r>
  <r>
    <x v="1499"/>
    <x v="748"/>
    <d v="2017-04-27T00:00:00"/>
    <x v="1"/>
    <s v="PN-18775"/>
    <s v="Parhena Norris"/>
    <x v="2"/>
    <s v="United States"/>
    <x v="345"/>
    <x v="9"/>
    <x v="0"/>
    <s v="FUR-FU-10000193"/>
    <s v="Furniture"/>
    <x v="3"/>
    <s v="Tenex Chairmats For Use with Hard Floors"/>
    <n v="77.951999999999998"/>
    <n v="3"/>
    <n v="-11.6928"/>
    <x v="4"/>
    <x v="6"/>
  </r>
  <r>
    <x v="1500"/>
    <x v="118"/>
    <d v="2017-09-24T00:00:00"/>
    <x v="3"/>
    <s v="PB-19150"/>
    <s v="Philip Brown"/>
    <x v="0"/>
    <s v="United States"/>
    <x v="15"/>
    <x v="13"/>
    <x v="1"/>
    <s v="FUR-FU-10002759"/>
    <s v="Furniture"/>
    <x v="3"/>
    <s v="12-1/2 Diameter Round Wall Clock"/>
    <n v="199.8"/>
    <n v="10"/>
    <n v="71.927999999999997"/>
    <x v="7"/>
    <x v="4"/>
  </r>
  <r>
    <x v="1501"/>
    <x v="821"/>
    <d v="2016-02-04T00:00:00"/>
    <x v="0"/>
    <s v="SE-20110"/>
    <s v="Sanjit Engle"/>
    <x v="0"/>
    <s v="United States"/>
    <x v="58"/>
    <x v="25"/>
    <x v="0"/>
    <s v="FUR-FU-10001731"/>
    <s v="Furniture"/>
    <x v="3"/>
    <s v="Acrylic Self-Standing Desk Frames"/>
    <n v="18.690000000000001"/>
    <n v="7"/>
    <n v="7.1021999999999998"/>
    <x v="3"/>
    <x v="11"/>
  </r>
  <r>
    <x v="1502"/>
    <x v="822"/>
    <d v="2015-03-03T00:00:00"/>
    <x v="0"/>
    <s v="DH-13075"/>
    <s v="Dave Hallsten"/>
    <x v="1"/>
    <s v="United States"/>
    <x v="2"/>
    <x v="2"/>
    <x v="1"/>
    <s v="FUR-CH-10003396"/>
    <s v="Furniture"/>
    <x v="1"/>
    <s v="Global Deluxe Steno Chair"/>
    <n v="184.75200000000001"/>
    <n v="3"/>
    <n v="-20.784600000000001"/>
    <x v="3"/>
    <x v="9"/>
  </r>
  <r>
    <x v="1503"/>
    <x v="630"/>
    <d v="2016-05-06T00:00:00"/>
    <x v="1"/>
    <s v="NR-18550"/>
    <s v="Nick Radford"/>
    <x v="0"/>
    <s v="United States"/>
    <x v="45"/>
    <x v="5"/>
    <x v="3"/>
    <s v="FUR-CH-10003298"/>
    <s v="Furniture"/>
    <x v="1"/>
    <s v="Office Star - Contemporary Task Swivel chair with Loop Arms, Charcoal"/>
    <n v="366.74400000000003"/>
    <n v="4"/>
    <n v="-110.0232"/>
    <x v="4"/>
    <x v="7"/>
  </r>
  <r>
    <x v="1504"/>
    <x v="821"/>
    <d v="2016-02-08T00:00:00"/>
    <x v="1"/>
    <s v="NS-18640"/>
    <s v="Noel Staavos"/>
    <x v="1"/>
    <s v="United States"/>
    <x v="6"/>
    <x v="5"/>
    <x v="3"/>
    <s v="FUR-FU-10003601"/>
    <s v="Furniture"/>
    <x v="3"/>
    <s v="Deflect-o RollaMat Studded, Beveled Mat for Medium Pile Carpeting"/>
    <n v="73.784000000000006"/>
    <n v="2"/>
    <n v="-77.473200000000006"/>
    <x v="6"/>
    <x v="11"/>
  </r>
  <r>
    <x v="1505"/>
    <x v="182"/>
    <d v="2017-06-07T00:00:00"/>
    <x v="0"/>
    <s v="EM-14065"/>
    <s v="Erin Mull"/>
    <x v="0"/>
    <s v="United States"/>
    <x v="346"/>
    <x v="5"/>
    <x v="3"/>
    <s v="FUR-FU-10002501"/>
    <s v="Furniture"/>
    <x v="3"/>
    <s v="Nu-Dell Executive Frame"/>
    <n v="30.335999999999999"/>
    <n v="6"/>
    <n v="-17.443200000000001"/>
    <x v="0"/>
    <x v="2"/>
  </r>
  <r>
    <x v="1506"/>
    <x v="423"/>
    <d v="2017-12-10T00:00:00"/>
    <x v="1"/>
    <s v="DO-13645"/>
    <s v="Doug O'Connell"/>
    <x v="0"/>
    <s v="United States"/>
    <x v="309"/>
    <x v="18"/>
    <x v="2"/>
    <s v="FUR-FU-10002506"/>
    <s v="Furniture"/>
    <x v="3"/>
    <s v="Tensor &quot;Hersey Kiss&quot; Styled Floor Lamp"/>
    <n v="12.99"/>
    <n v="1"/>
    <n v="1.5588"/>
    <x v="6"/>
    <x v="5"/>
  </r>
  <r>
    <x v="1506"/>
    <x v="423"/>
    <d v="2017-12-10T00:00:00"/>
    <x v="1"/>
    <s v="DO-13645"/>
    <s v="Doug O'Connell"/>
    <x v="0"/>
    <s v="United States"/>
    <x v="309"/>
    <x v="18"/>
    <x v="2"/>
    <s v="FUR-CH-10003817"/>
    <s v="Furniture"/>
    <x v="1"/>
    <s v="Global Value Steno Chair, Gray"/>
    <n v="182.22"/>
    <n v="3"/>
    <n v="45.555"/>
    <x v="6"/>
    <x v="5"/>
  </r>
  <r>
    <x v="1506"/>
    <x v="423"/>
    <d v="2017-12-10T00:00:00"/>
    <x v="1"/>
    <s v="DO-13645"/>
    <s v="Doug O'Connell"/>
    <x v="0"/>
    <s v="United States"/>
    <x v="309"/>
    <x v="18"/>
    <x v="2"/>
    <s v="FUR-CH-10004860"/>
    <s v="Furniture"/>
    <x v="1"/>
    <s v="Global Low Back Tilter Chair"/>
    <n v="302.94"/>
    <n v="3"/>
    <n v="18.176400000000001"/>
    <x v="6"/>
    <x v="5"/>
  </r>
  <r>
    <x v="1507"/>
    <x v="823"/>
    <d v="2016-01-15T00:00:00"/>
    <x v="1"/>
    <s v="MP-17470"/>
    <s v="Mark Packer"/>
    <x v="2"/>
    <s v="United States"/>
    <x v="29"/>
    <x v="15"/>
    <x v="2"/>
    <s v="FUR-FU-10002268"/>
    <s v="Furniture"/>
    <x v="3"/>
    <s v="Ultra Door Push Plate"/>
    <n v="54.991999999999997"/>
    <n v="14"/>
    <n v="8.9361999999999995"/>
    <x v="4"/>
    <x v="8"/>
  </r>
  <r>
    <x v="1508"/>
    <x v="824"/>
    <d v="2017-03-16T00:00:00"/>
    <x v="3"/>
    <s v="SP-20920"/>
    <s v="Susan Pistek"/>
    <x v="0"/>
    <s v="United States"/>
    <x v="29"/>
    <x v="15"/>
    <x v="2"/>
    <s v="FUR-FU-10003424"/>
    <s v="Furniture"/>
    <x v="3"/>
    <s v="Nu-Dell Oak Frame"/>
    <n v="51.264000000000003"/>
    <n v="6"/>
    <n v="7.6896000000000004"/>
    <x v="7"/>
    <x v="9"/>
  </r>
  <r>
    <x v="1509"/>
    <x v="219"/>
    <d v="2017-11-17T00:00:00"/>
    <x v="1"/>
    <s v="ME-17320"/>
    <s v="Maria Etezadi"/>
    <x v="2"/>
    <s v="United States"/>
    <x v="2"/>
    <x v="2"/>
    <x v="1"/>
    <s v="FUR-CH-10001714"/>
    <s v="Furniture"/>
    <x v="1"/>
    <s v="Global Leather &amp; Oak Executive Chair, Burgundy"/>
    <n v="241.42400000000001"/>
    <n v="2"/>
    <n v="-36.2136"/>
    <x v="1"/>
    <x v="0"/>
  </r>
  <r>
    <x v="1510"/>
    <x v="825"/>
    <d v="2016-12-06T00:00:00"/>
    <x v="1"/>
    <s v="BS-11755"/>
    <s v="Bruce Stewart"/>
    <x v="0"/>
    <s v="United States"/>
    <x v="25"/>
    <x v="17"/>
    <x v="3"/>
    <s v="FUR-CH-10000513"/>
    <s v="Furniture"/>
    <x v="1"/>
    <s v="High-Back Leather Manager's Chair"/>
    <n v="389.97"/>
    <n v="3"/>
    <n v="35.097299999999997"/>
    <x v="6"/>
    <x v="0"/>
  </r>
  <r>
    <x v="1511"/>
    <x v="826"/>
    <d v="2015-12-23T00:00:00"/>
    <x v="2"/>
    <s v="HR-14830"/>
    <s v="Harold Ryan"/>
    <x v="1"/>
    <s v="United States"/>
    <x v="3"/>
    <x v="3"/>
    <x v="2"/>
    <s v="FUR-CH-10001270"/>
    <s v="Furniture"/>
    <x v="1"/>
    <s v="Harbour Creations Steel Folding Chair"/>
    <n v="422.625"/>
    <n v="7"/>
    <n v="0"/>
    <x v="5"/>
    <x v="5"/>
  </r>
  <r>
    <x v="1512"/>
    <x v="827"/>
    <d v="2016-03-31T00:00:00"/>
    <x v="1"/>
    <s v="DS-13180"/>
    <s v="David Smith"/>
    <x v="1"/>
    <s v="United States"/>
    <x v="29"/>
    <x v="24"/>
    <x v="0"/>
    <s v="FUR-FU-10004053"/>
    <s v="Furniture"/>
    <x v="3"/>
    <s v="DAX Two-Tone Silver Metal Document Frame"/>
    <n v="20.239999999999998"/>
    <n v="1"/>
    <n v="8.7032000000000007"/>
    <x v="4"/>
    <x v="9"/>
  </r>
  <r>
    <x v="1512"/>
    <x v="827"/>
    <d v="2016-03-31T00:00:00"/>
    <x v="1"/>
    <s v="DS-13180"/>
    <s v="David Smith"/>
    <x v="1"/>
    <s v="United States"/>
    <x v="29"/>
    <x v="24"/>
    <x v="0"/>
    <s v="FUR-FU-10003731"/>
    <s v="Furniture"/>
    <x v="3"/>
    <s v="Eldon Expressions Wood and Plastic Desk Accessories, Oak"/>
    <n v="39.92"/>
    <n v="4"/>
    <n v="11.1776"/>
    <x v="4"/>
    <x v="9"/>
  </r>
  <r>
    <x v="1513"/>
    <x v="795"/>
    <d v="2015-09-12T00:00:00"/>
    <x v="2"/>
    <s v="GB-14530"/>
    <s v="George Bell"/>
    <x v="1"/>
    <s v="United States"/>
    <x v="14"/>
    <x v="12"/>
    <x v="1"/>
    <s v="FUR-FU-10000073"/>
    <s v="Furniture"/>
    <x v="3"/>
    <s v="Deflect-O Glasstique Clear Desk Accessories"/>
    <n v="24.64"/>
    <n v="4"/>
    <n v="4.0039999999999996"/>
    <x v="5"/>
    <x v="4"/>
  </r>
  <r>
    <x v="1514"/>
    <x v="453"/>
    <d v="2016-12-11T00:00:00"/>
    <x v="2"/>
    <s v="PM-18940"/>
    <s v="Paul MacIntyre"/>
    <x v="0"/>
    <s v="United States"/>
    <x v="76"/>
    <x v="25"/>
    <x v="0"/>
    <s v="FUR-TA-10002530"/>
    <s v="Furniture"/>
    <x v="2"/>
    <s v="Iceberg OfficeWorks 42&quot; Round Tables"/>
    <n v="1056.8599999999999"/>
    <n v="7"/>
    <n v="158.529"/>
    <x v="3"/>
    <x v="5"/>
  </r>
  <r>
    <x v="1515"/>
    <x v="207"/>
    <d v="2016-12-26T00:00:00"/>
    <x v="0"/>
    <s v="LA-16780"/>
    <s v="Laura Armstrong"/>
    <x v="1"/>
    <s v="United States"/>
    <x v="6"/>
    <x v="5"/>
    <x v="3"/>
    <s v="FUR-FU-10000206"/>
    <s v="Furniture"/>
    <x v="3"/>
    <s v="GE General Purpose, Extra Long Life, Showcase &amp; Floodlight Incandescent Bulbs"/>
    <n v="2.3279999999999998"/>
    <n v="2"/>
    <n v="-0.75660000000000005"/>
    <x v="0"/>
    <x v="5"/>
  </r>
  <r>
    <x v="1516"/>
    <x v="828"/>
    <d v="2016-04-06T00:00:00"/>
    <x v="0"/>
    <s v="DJ-13420"/>
    <s v="Denny Joy"/>
    <x v="1"/>
    <s v="United States"/>
    <x v="79"/>
    <x v="16"/>
    <x v="3"/>
    <s v="FUR-CH-10000847"/>
    <s v="Furniture"/>
    <x v="1"/>
    <s v="Global Executive Mid-Back Manager's Chair"/>
    <n v="1454.9"/>
    <n v="5"/>
    <n v="378.274"/>
    <x v="4"/>
    <x v="6"/>
  </r>
  <r>
    <x v="1517"/>
    <x v="393"/>
    <d v="2017-05-04T00:00:00"/>
    <x v="1"/>
    <s v="MH-18115"/>
    <s v="Mick Hernandez"/>
    <x v="2"/>
    <s v="United States"/>
    <x v="347"/>
    <x v="1"/>
    <x v="0"/>
    <s v="FUR-FU-10000747"/>
    <s v="Furniture"/>
    <x v="3"/>
    <s v="Tenex B1-RE Series Chair Mats for Low Pile Carpets"/>
    <n v="220.70400000000001"/>
    <n v="6"/>
    <n v="-8.2764000000000006"/>
    <x v="4"/>
    <x v="6"/>
  </r>
  <r>
    <x v="1518"/>
    <x v="209"/>
    <d v="2017-07-04T00:00:00"/>
    <x v="2"/>
    <s v="TS-21505"/>
    <s v="Tony Sayre"/>
    <x v="0"/>
    <s v="United States"/>
    <x v="41"/>
    <x v="28"/>
    <x v="2"/>
    <s v="FUR-FU-10004188"/>
    <s v="Furniture"/>
    <x v="3"/>
    <s v="Luxo Professional Combination Clamp-On Lamps"/>
    <n v="102.3"/>
    <n v="1"/>
    <n v="26.597999999999999"/>
    <x v="5"/>
    <x v="3"/>
  </r>
  <r>
    <x v="1519"/>
    <x v="313"/>
    <d v="2017-12-26T00:00:00"/>
    <x v="1"/>
    <s v="CM-12190"/>
    <s v="Charlotte Melton"/>
    <x v="0"/>
    <s v="United States"/>
    <x v="77"/>
    <x v="11"/>
    <x v="3"/>
    <s v="FUR-TA-10004915"/>
    <s v="Furniture"/>
    <x v="2"/>
    <s v="Office Impressions End Table, 20-1/2&quot;H x 24&quot;W x 20&quot;D"/>
    <n v="607.52"/>
    <n v="2"/>
    <n v="97.203199999999995"/>
    <x v="4"/>
    <x v="5"/>
  </r>
  <r>
    <x v="1520"/>
    <x v="321"/>
    <d v="2014-05-22T00:00:00"/>
    <x v="0"/>
    <s v="MC-17590"/>
    <s v="Matt Collister"/>
    <x v="1"/>
    <s v="United States"/>
    <x v="348"/>
    <x v="5"/>
    <x v="3"/>
    <s v="FUR-FU-10003489"/>
    <s v="Furniture"/>
    <x v="3"/>
    <s v="Contemporary Borderless Frame"/>
    <n v="10.332000000000001"/>
    <n v="3"/>
    <n v="-5.9409000000000001"/>
    <x v="3"/>
    <x v="7"/>
  </r>
  <r>
    <x v="1521"/>
    <x v="748"/>
    <d v="2017-04-26T00:00:00"/>
    <x v="2"/>
    <s v="SO-20335"/>
    <s v="Sean O'Donnell"/>
    <x v="0"/>
    <s v="United States"/>
    <x v="349"/>
    <x v="12"/>
    <x v="1"/>
    <s v="FUR-FU-10001025"/>
    <s v="Furniture"/>
    <x v="3"/>
    <s v="Eldon Imˆge Series Desk Accessories, Clear"/>
    <n v="11.664"/>
    <n v="3"/>
    <n v="3.3534000000000002"/>
    <x v="0"/>
    <x v="6"/>
  </r>
  <r>
    <x v="1522"/>
    <x v="829"/>
    <d v="2014-06-09T00:00:00"/>
    <x v="1"/>
    <s v="BT-11440"/>
    <s v="Bobby Trafton"/>
    <x v="0"/>
    <s v="United States"/>
    <x v="13"/>
    <x v="7"/>
    <x v="2"/>
    <s v="FUR-FU-10002878"/>
    <s v="Furniture"/>
    <x v="3"/>
    <s v="Seth Thomas 14&quot; Day/Date Wall Clock"/>
    <n v="56.96"/>
    <n v="2"/>
    <n v="21.075199999999999"/>
    <x v="2"/>
    <x v="2"/>
  </r>
  <r>
    <x v="1522"/>
    <x v="829"/>
    <d v="2014-06-09T00:00:00"/>
    <x v="1"/>
    <s v="BT-11440"/>
    <s v="Bobby Trafton"/>
    <x v="0"/>
    <s v="United States"/>
    <x v="13"/>
    <x v="7"/>
    <x v="2"/>
    <s v="FUR-BO-10003272"/>
    <s v="Furniture"/>
    <x v="0"/>
    <s v="O'Sullivan Living Dimensions 5-Shelf Bookcases"/>
    <n v="353.56799999999998"/>
    <n v="2"/>
    <n v="-44.195999999999998"/>
    <x v="2"/>
    <x v="2"/>
  </r>
  <r>
    <x v="1522"/>
    <x v="829"/>
    <d v="2014-06-09T00:00:00"/>
    <x v="1"/>
    <s v="BT-11440"/>
    <s v="Bobby Trafton"/>
    <x v="0"/>
    <s v="United States"/>
    <x v="13"/>
    <x v="7"/>
    <x v="2"/>
    <s v="FUR-FU-10002191"/>
    <s v="Furniture"/>
    <x v="3"/>
    <s v="G.E. Halogen Desk Lamp Bulbs"/>
    <n v="13.96"/>
    <n v="2"/>
    <n v="6.7008000000000001"/>
    <x v="2"/>
    <x v="2"/>
  </r>
  <r>
    <x v="1523"/>
    <x v="470"/>
    <d v="2017-03-08T00:00:00"/>
    <x v="1"/>
    <s v="BT-11395"/>
    <s v="Bill Tyler"/>
    <x v="1"/>
    <s v="United States"/>
    <x v="2"/>
    <x v="2"/>
    <x v="1"/>
    <s v="FUR-TA-10001520"/>
    <s v="Furniture"/>
    <x v="2"/>
    <s v="Lesro Sheffield Collection Coffee Table, End Table, Center Table, Corner Table"/>
    <n v="399.67200000000003"/>
    <n v="7"/>
    <n v="-14.9877"/>
    <x v="2"/>
    <x v="9"/>
  </r>
  <r>
    <x v="1524"/>
    <x v="200"/>
    <d v="2017-11-09T00:00:00"/>
    <x v="0"/>
    <s v="LC-17050"/>
    <s v="Liz Carlisle"/>
    <x v="0"/>
    <s v="United States"/>
    <x v="144"/>
    <x v="5"/>
    <x v="3"/>
    <s v="FUR-FU-10003878"/>
    <s v="Furniture"/>
    <x v="3"/>
    <s v="Linden 10&quot; Round Wall Clock, Black"/>
    <n v="30.56"/>
    <n v="5"/>
    <n v="-19.864000000000001"/>
    <x v="0"/>
    <x v="0"/>
  </r>
  <r>
    <x v="1525"/>
    <x v="395"/>
    <d v="2015-09-12T00:00:00"/>
    <x v="1"/>
    <s v="AG-10525"/>
    <s v="Andy Gerbode"/>
    <x v="1"/>
    <s v="United States"/>
    <x v="13"/>
    <x v="7"/>
    <x v="2"/>
    <s v="FUR-TA-10003569"/>
    <s v="Furniture"/>
    <x v="2"/>
    <s v="Bretford CR8500 Series Meeting Room Furniture"/>
    <n v="481.17599999999999"/>
    <n v="2"/>
    <n v="-120.294"/>
    <x v="2"/>
    <x v="4"/>
  </r>
  <r>
    <x v="1526"/>
    <x v="830"/>
    <d v="2016-07-29T00:00:00"/>
    <x v="2"/>
    <s v="OT-18730"/>
    <s v="Olvera Toch"/>
    <x v="0"/>
    <s v="United States"/>
    <x v="268"/>
    <x v="3"/>
    <x v="2"/>
    <s v="FUR-BO-10004409"/>
    <s v="Furniture"/>
    <x v="0"/>
    <s v="Safco Value Mate Series Steel Bookcases, Baked Enamel Finish on Steel, Gray"/>
    <n v="177.45"/>
    <n v="5"/>
    <n v="-78.078000000000003"/>
    <x v="5"/>
    <x v="3"/>
  </r>
  <r>
    <x v="1527"/>
    <x v="831"/>
    <d v="2017-08-29T00:00:00"/>
    <x v="1"/>
    <s v="SV-20365"/>
    <s v="Seth Vernon"/>
    <x v="0"/>
    <s v="United States"/>
    <x v="3"/>
    <x v="3"/>
    <x v="2"/>
    <s v="FUR-BO-10001798"/>
    <s v="Furniture"/>
    <x v="0"/>
    <s v="Bush Somerset Collection Bookcase"/>
    <n v="130.97999999999999"/>
    <n v="2"/>
    <n v="-89.066400000000002"/>
    <x v="4"/>
    <x v="10"/>
  </r>
  <r>
    <x v="1528"/>
    <x v="437"/>
    <d v="2017-05-02T00:00:00"/>
    <x v="1"/>
    <s v="HM-14980"/>
    <s v="Henry MacAllister"/>
    <x v="0"/>
    <s v="United States"/>
    <x v="15"/>
    <x v="13"/>
    <x v="1"/>
    <s v="FUR-FU-10000397"/>
    <s v="Furniture"/>
    <x v="3"/>
    <s v="Luxo Economy Swing Arm Lamp"/>
    <n v="139.58000000000001"/>
    <n v="7"/>
    <n v="39.0824"/>
    <x v="2"/>
    <x v="6"/>
  </r>
  <r>
    <x v="1529"/>
    <x v="428"/>
    <d v="2015-11-15T00:00:00"/>
    <x v="1"/>
    <s v="NS-18640"/>
    <s v="Noel Staavos"/>
    <x v="1"/>
    <s v="United States"/>
    <x v="51"/>
    <x v="30"/>
    <x v="0"/>
    <s v="FUR-FU-10000023"/>
    <s v="Furniture"/>
    <x v="3"/>
    <s v="Eldon Wave Desk Accessories"/>
    <n v="4.7119999999999997"/>
    <n v="1"/>
    <n v="1.4136"/>
    <x v="1"/>
    <x v="0"/>
  </r>
  <r>
    <x v="1530"/>
    <x v="778"/>
    <d v="2016-11-29T00:00:00"/>
    <x v="1"/>
    <s v="MH-17455"/>
    <s v="Mark Hamilton"/>
    <x v="0"/>
    <s v="United States"/>
    <x v="2"/>
    <x v="2"/>
    <x v="1"/>
    <s v="FUR-CH-10004698"/>
    <s v="Furniture"/>
    <x v="1"/>
    <s v="Padded Folding Chairs, Black, 4/Carton"/>
    <n v="194.352"/>
    <n v="3"/>
    <n v="19.435199999999998"/>
    <x v="4"/>
    <x v="0"/>
  </r>
  <r>
    <x v="1531"/>
    <x v="482"/>
    <d v="2015-12-08T00:00:00"/>
    <x v="2"/>
    <s v="RR-19525"/>
    <s v="Rick Reed"/>
    <x v="1"/>
    <s v="United States"/>
    <x v="228"/>
    <x v="9"/>
    <x v="0"/>
    <s v="FUR-CH-10004477"/>
    <s v="Furniture"/>
    <x v="1"/>
    <s v="Global Push Button Manager's Chair, Indigo"/>
    <n v="97.424000000000007"/>
    <n v="2"/>
    <n v="10.9602"/>
    <x v="0"/>
    <x v="5"/>
  </r>
  <r>
    <x v="1532"/>
    <x v="624"/>
    <d v="2014-09-13T00:00:00"/>
    <x v="3"/>
    <s v="RP-19390"/>
    <s v="Resi Pšlking"/>
    <x v="0"/>
    <s v="United States"/>
    <x v="15"/>
    <x v="13"/>
    <x v="1"/>
    <s v="FUR-FU-10001918"/>
    <s v="Furniture"/>
    <x v="3"/>
    <s v="C-Line Cubicle Keepers Polyproplyene Holder With Velcro Backings"/>
    <n v="14.19"/>
    <n v="3"/>
    <n v="5.5340999999999996"/>
    <x v="7"/>
    <x v="4"/>
  </r>
  <r>
    <x v="1533"/>
    <x v="608"/>
    <d v="2017-11-30T00:00:00"/>
    <x v="1"/>
    <s v="HZ-14950"/>
    <s v="Henia Zydlo"/>
    <x v="0"/>
    <s v="United States"/>
    <x v="1"/>
    <x v="1"/>
    <x v="0"/>
    <s v="FUR-BO-10003965"/>
    <s v="Furniture"/>
    <x v="0"/>
    <s v="O'Sullivan Manor Hill 2-Door Library in Brianna Oak"/>
    <n v="723.92"/>
    <n v="5"/>
    <n v="-81.441000000000003"/>
    <x v="2"/>
    <x v="0"/>
  </r>
  <r>
    <x v="1534"/>
    <x v="832"/>
    <d v="2015-05-17T00:00:00"/>
    <x v="1"/>
    <s v="JG-15160"/>
    <s v="James Galang"/>
    <x v="0"/>
    <s v="United States"/>
    <x v="6"/>
    <x v="5"/>
    <x v="3"/>
    <s v="FUR-FU-10000175"/>
    <s v="Furniture"/>
    <x v="3"/>
    <s v="DAX Wood Document Frame."/>
    <n v="21.968"/>
    <n v="4"/>
    <n v="-15.9268"/>
    <x v="2"/>
    <x v="7"/>
  </r>
  <r>
    <x v="1535"/>
    <x v="833"/>
    <d v="2017-04-01T00:00:00"/>
    <x v="0"/>
    <s v="AB-10165"/>
    <s v="Alan Barnes"/>
    <x v="0"/>
    <s v="United States"/>
    <x v="174"/>
    <x v="2"/>
    <x v="1"/>
    <s v="FUR-FU-10004973"/>
    <s v="Furniture"/>
    <x v="3"/>
    <s v="Flat Face Poster Frame"/>
    <n v="94.2"/>
    <n v="5"/>
    <n v="39.564"/>
    <x v="3"/>
    <x v="9"/>
  </r>
  <r>
    <x v="1536"/>
    <x v="421"/>
    <d v="2015-01-01T00:00:00"/>
    <x v="0"/>
    <s v="KB-16315"/>
    <s v="Karl Braun"/>
    <x v="0"/>
    <s v="United States"/>
    <x v="59"/>
    <x v="15"/>
    <x v="2"/>
    <s v="FUR-FU-10004904"/>
    <s v="Furniture"/>
    <x v="3"/>
    <s v="Eldon &quot;L&quot; Workstation Diamond Chairmat"/>
    <n v="182.352"/>
    <n v="3"/>
    <n v="-18.235199999999999"/>
    <x v="2"/>
    <x v="5"/>
  </r>
  <r>
    <x v="1537"/>
    <x v="834"/>
    <d v="2017-02-21T00:00:00"/>
    <x v="1"/>
    <s v="JS-16030"/>
    <s v="Joy Smith"/>
    <x v="0"/>
    <s v="United States"/>
    <x v="42"/>
    <x v="8"/>
    <x v="3"/>
    <s v="FUR-CH-10004063"/>
    <s v="Furniture"/>
    <x v="1"/>
    <s v="Global Deluxe High-Back Manager's Chair"/>
    <n v="600.55799999999999"/>
    <n v="3"/>
    <n v="-8.5793999999999997"/>
    <x v="2"/>
    <x v="11"/>
  </r>
  <r>
    <x v="1537"/>
    <x v="834"/>
    <d v="2017-02-21T00:00:00"/>
    <x v="1"/>
    <s v="JS-16030"/>
    <s v="Joy Smith"/>
    <x v="0"/>
    <s v="United States"/>
    <x v="42"/>
    <x v="8"/>
    <x v="3"/>
    <s v="FUR-FU-10004270"/>
    <s v="Furniture"/>
    <x v="3"/>
    <s v="Executive Impressions 13&quot; Clairmont Wall Clock"/>
    <n v="7.6920000000000002"/>
    <n v="1"/>
    <n v="-3.6537000000000002"/>
    <x v="2"/>
    <x v="11"/>
  </r>
  <r>
    <x v="1538"/>
    <x v="835"/>
    <d v="2017-10-26T00:00:00"/>
    <x v="2"/>
    <s v="PO-18850"/>
    <s v="Patrick O'Brill"/>
    <x v="0"/>
    <s v="United States"/>
    <x v="350"/>
    <x v="5"/>
    <x v="3"/>
    <s v="FUR-TA-10004607"/>
    <s v="Furniture"/>
    <x v="2"/>
    <s v="Hon 2111 Invitation Series Straight Table"/>
    <n v="517.40499999999997"/>
    <n v="5"/>
    <n v="-81.3065"/>
    <x v="3"/>
    <x v="1"/>
  </r>
  <r>
    <x v="1539"/>
    <x v="102"/>
    <d v="2017-09-17T00:00:00"/>
    <x v="0"/>
    <s v="CS-12400"/>
    <s v="Christopher Schild"/>
    <x v="2"/>
    <s v="United States"/>
    <x v="28"/>
    <x v="2"/>
    <x v="1"/>
    <s v="FUR-TA-10003473"/>
    <s v="Furniture"/>
    <x v="2"/>
    <s v="Bretford Rectangular Conference Table Tops"/>
    <n v="300.904"/>
    <n v="1"/>
    <n v="11.283899999999999"/>
    <x v="3"/>
    <x v="4"/>
  </r>
  <r>
    <x v="1540"/>
    <x v="836"/>
    <d v="2017-06-20T00:00:00"/>
    <x v="1"/>
    <s v="TS-21205"/>
    <s v="Thomas Seio"/>
    <x v="1"/>
    <s v="United States"/>
    <x v="228"/>
    <x v="9"/>
    <x v="0"/>
    <s v="FUR-FU-10004351"/>
    <s v="Furniture"/>
    <x v="3"/>
    <s v="Staple-based wall hangings"/>
    <n v="31.167999999999999"/>
    <n v="4"/>
    <n v="9.3504000000000005"/>
    <x v="2"/>
    <x v="2"/>
  </r>
  <r>
    <x v="1540"/>
    <x v="836"/>
    <d v="2017-06-20T00:00:00"/>
    <x v="1"/>
    <s v="TS-21205"/>
    <s v="Thomas Seio"/>
    <x v="1"/>
    <s v="United States"/>
    <x v="228"/>
    <x v="9"/>
    <x v="0"/>
    <s v="FUR-TA-10004152"/>
    <s v="Furniture"/>
    <x v="2"/>
    <s v="Barricks 18&quot; x 48&quot; Non-Folding Utility Table with Bottom Storage Shelf"/>
    <n v="120.96"/>
    <n v="2"/>
    <n v="-28.224"/>
    <x v="2"/>
    <x v="2"/>
  </r>
  <r>
    <x v="1541"/>
    <x v="30"/>
    <d v="2014-09-13T00:00:00"/>
    <x v="1"/>
    <s v="PP-18955"/>
    <s v="Paul Prost"/>
    <x v="2"/>
    <s v="United States"/>
    <x v="13"/>
    <x v="7"/>
    <x v="2"/>
    <s v="FUR-CH-10004289"/>
    <s v="Furniture"/>
    <x v="1"/>
    <s v="Global Super Steno Chair"/>
    <n v="172.76400000000001"/>
    <n v="2"/>
    <n v="13.437200000000001"/>
    <x v="2"/>
    <x v="4"/>
  </r>
  <r>
    <x v="1542"/>
    <x v="627"/>
    <d v="2014-11-18T00:00:00"/>
    <x v="2"/>
    <s v="JD-16150"/>
    <s v="Justin Deggeller"/>
    <x v="1"/>
    <s v="United States"/>
    <x v="2"/>
    <x v="2"/>
    <x v="1"/>
    <s v="FUR-BO-10004015"/>
    <s v="Furniture"/>
    <x v="0"/>
    <s v="Bush Andora Bookcase, Maple/Graphite Gray Finish"/>
    <n v="305.97449999999998"/>
    <n v="3"/>
    <n v="25.197900000000001"/>
    <x v="3"/>
    <x v="0"/>
  </r>
  <r>
    <x v="1543"/>
    <x v="749"/>
    <d v="2014-03-07T00:00:00"/>
    <x v="1"/>
    <s v="EJ-14155"/>
    <s v="Eva Jacobs"/>
    <x v="0"/>
    <s v="United States"/>
    <x v="53"/>
    <x v="2"/>
    <x v="1"/>
    <s v="FUR-TA-10002958"/>
    <s v="Furniture"/>
    <x v="2"/>
    <s v="Bevis Oval Conference Table, Walnut"/>
    <n v="626.35199999999998"/>
    <n v="3"/>
    <n v="-23.488199999999999"/>
    <x v="4"/>
    <x v="9"/>
  </r>
  <r>
    <x v="1544"/>
    <x v="62"/>
    <d v="2015-12-07T00:00:00"/>
    <x v="1"/>
    <s v="PW-19240"/>
    <s v="Pierre Wener"/>
    <x v="0"/>
    <s v="United States"/>
    <x v="28"/>
    <x v="2"/>
    <x v="1"/>
    <s v="FUR-BO-10002213"/>
    <s v="Furniture"/>
    <x v="0"/>
    <s v="Sauder Forest Hills Library, Woodland Oak Finish"/>
    <n v="359.49900000000002"/>
    <n v="3"/>
    <n v="-29.605799999999999"/>
    <x v="4"/>
    <x v="5"/>
  </r>
  <r>
    <x v="1545"/>
    <x v="21"/>
    <d v="2016-06-16T00:00:00"/>
    <x v="0"/>
    <s v="AW-10930"/>
    <s v="Arthur Wiediger"/>
    <x v="2"/>
    <s v="United States"/>
    <x v="6"/>
    <x v="5"/>
    <x v="3"/>
    <s v="FUR-FU-10001424"/>
    <s v="Furniture"/>
    <x v="3"/>
    <s v="Dax Clear Box Frame"/>
    <n v="6.984"/>
    <n v="2"/>
    <n v="-4.5396000000000001"/>
    <x v="4"/>
    <x v="2"/>
  </r>
  <r>
    <x v="1545"/>
    <x v="21"/>
    <d v="2016-06-16T00:00:00"/>
    <x v="0"/>
    <s v="AW-10930"/>
    <s v="Arthur Wiediger"/>
    <x v="2"/>
    <s v="United States"/>
    <x v="6"/>
    <x v="5"/>
    <x v="3"/>
    <s v="FUR-CH-10000229"/>
    <s v="Furniture"/>
    <x v="1"/>
    <s v="Global Enterprise Series Seating High-Back Swivel/Tilt Chairs"/>
    <n v="379.37200000000001"/>
    <n v="2"/>
    <n v="-119.2312"/>
    <x v="4"/>
    <x v="2"/>
  </r>
  <r>
    <x v="1546"/>
    <x v="7"/>
    <d v="2015-12-31T00:00:00"/>
    <x v="1"/>
    <s v="SP-20860"/>
    <s v="Sung Pak"/>
    <x v="1"/>
    <s v="United States"/>
    <x v="34"/>
    <x v="9"/>
    <x v="0"/>
    <s v="FUR-FU-10002030"/>
    <s v="Furniture"/>
    <x v="3"/>
    <s v="Executive Impressions 14&quot; Contract Wall Clock with Quartz Movement"/>
    <n v="53.351999999999997"/>
    <n v="3"/>
    <n v="16.005600000000001"/>
    <x v="4"/>
    <x v="5"/>
  </r>
  <r>
    <x v="1546"/>
    <x v="7"/>
    <d v="2015-12-31T00:00:00"/>
    <x v="1"/>
    <s v="SP-20860"/>
    <s v="Sung Pak"/>
    <x v="1"/>
    <s v="United States"/>
    <x v="34"/>
    <x v="9"/>
    <x v="0"/>
    <s v="FUR-BO-10002853"/>
    <s v="Furniture"/>
    <x v="0"/>
    <s v="O'Sullivan 5-Shelf Heavy-Duty Bookcases"/>
    <n v="131.10400000000001"/>
    <n v="2"/>
    <n v="8.1940000000000008"/>
    <x v="4"/>
    <x v="5"/>
  </r>
  <r>
    <x v="1547"/>
    <x v="419"/>
    <d v="2017-06-29T00:00:00"/>
    <x v="0"/>
    <s v="PW-19030"/>
    <s v="Pauline Webber"/>
    <x v="1"/>
    <s v="United States"/>
    <x v="15"/>
    <x v="13"/>
    <x v="1"/>
    <s v="FUR-FU-10001290"/>
    <s v="Furniture"/>
    <x v="3"/>
    <s v="Executive Impressions Supervisor Wall Clock"/>
    <n v="126.3"/>
    <n v="3"/>
    <n v="40.415999999999997"/>
    <x v="3"/>
    <x v="2"/>
  </r>
  <r>
    <x v="1548"/>
    <x v="837"/>
    <d v="2015-10-04T00:00:00"/>
    <x v="2"/>
    <s v="CK-12205"/>
    <s v="Chloris Kastensmidt"/>
    <x v="0"/>
    <s v="United States"/>
    <x v="351"/>
    <x v="36"/>
    <x v="1"/>
    <s v="FUR-FU-10000629"/>
    <s v="Furniture"/>
    <x v="3"/>
    <s v="9-3/4 Diameter Round Wall Clock"/>
    <n v="11.032"/>
    <n v="1"/>
    <n v="3.0337999999999998"/>
    <x v="3"/>
    <x v="1"/>
  </r>
  <r>
    <x v="1549"/>
    <x v="611"/>
    <d v="2017-02-07T00:00:00"/>
    <x v="1"/>
    <s v="BO-11350"/>
    <s v="Bill Overfelt"/>
    <x v="1"/>
    <s v="United States"/>
    <x v="53"/>
    <x v="2"/>
    <x v="1"/>
    <s v="FUR-FU-10000293"/>
    <s v="Furniture"/>
    <x v="3"/>
    <s v="Eldon Antistatic Chair Mats for Low to Medium Pile Carpets"/>
    <n v="210.58"/>
    <n v="2"/>
    <n v="12.6348"/>
    <x v="2"/>
    <x v="11"/>
  </r>
  <r>
    <x v="1550"/>
    <x v="249"/>
    <d v="2016-07-26T00:00:00"/>
    <x v="1"/>
    <s v="MF-17665"/>
    <s v="Maureen Fritzler"/>
    <x v="1"/>
    <s v="United States"/>
    <x v="11"/>
    <x v="32"/>
    <x v="2"/>
    <s v="FUR-FU-10000794"/>
    <s v="Furniture"/>
    <x v="3"/>
    <s v="Eldon Stackable Tray, Side-Load, Legal, Smoke"/>
    <n v="27.42"/>
    <n v="3"/>
    <n v="9.3228000000000009"/>
    <x v="4"/>
    <x v="3"/>
  </r>
  <r>
    <x v="1551"/>
    <x v="51"/>
    <d v="2016-09-13T00:00:00"/>
    <x v="3"/>
    <s v="PO-19180"/>
    <s v="Philisse Overcash"/>
    <x v="2"/>
    <s v="United States"/>
    <x v="74"/>
    <x v="12"/>
    <x v="1"/>
    <s v="FUR-CH-10002304"/>
    <s v="Furniture"/>
    <x v="1"/>
    <s v="Global Stack Chair without Arms, Black"/>
    <n v="83.135999999999996"/>
    <n v="4"/>
    <n v="5.1959999999999997"/>
    <x v="5"/>
    <x v="4"/>
  </r>
  <r>
    <x v="1552"/>
    <x v="192"/>
    <d v="2016-07-03T00:00:00"/>
    <x v="2"/>
    <s v="EA-14035"/>
    <s v="Erin Ashbrook"/>
    <x v="1"/>
    <s v="United States"/>
    <x v="156"/>
    <x v="5"/>
    <x v="3"/>
    <s v="FUR-CH-10000665"/>
    <s v="Furniture"/>
    <x v="1"/>
    <s v="Global Airflow Leather Mesh Back Chair, Black"/>
    <n v="528.42999999999995"/>
    <n v="5"/>
    <n v="0"/>
    <x v="5"/>
    <x v="3"/>
  </r>
  <r>
    <x v="1553"/>
    <x v="838"/>
    <d v="2017-12-18T00:00:00"/>
    <x v="1"/>
    <s v="BP-11095"/>
    <s v="Bart Pistole"/>
    <x v="1"/>
    <s v="United States"/>
    <x v="13"/>
    <x v="7"/>
    <x v="2"/>
    <s v="FUR-BO-10004015"/>
    <s v="Furniture"/>
    <x v="0"/>
    <s v="Bush Andora Bookcase, Maple/Graphite Gray Finish"/>
    <n v="287.976"/>
    <n v="3"/>
    <n v="7.1993999999999998"/>
    <x v="2"/>
    <x v="5"/>
  </r>
  <r>
    <x v="1554"/>
    <x v="822"/>
    <d v="2015-03-04T00:00:00"/>
    <x v="2"/>
    <s v="CM-12715"/>
    <s v="Craig Molinari"/>
    <x v="1"/>
    <s v="United States"/>
    <x v="6"/>
    <x v="5"/>
    <x v="3"/>
    <s v="FUR-BO-10001811"/>
    <s v="Furniture"/>
    <x v="0"/>
    <s v="Atlantic Metals Mobile 5-Shelf Bookcases, Custom Colors"/>
    <n v="1227.9983999999999"/>
    <n v="6"/>
    <n v="-36.117600000000003"/>
    <x v="0"/>
    <x v="9"/>
  </r>
  <r>
    <x v="1555"/>
    <x v="839"/>
    <d v="2016-09-20T00:00:00"/>
    <x v="1"/>
    <s v="JD-16150"/>
    <s v="Justin Deggeller"/>
    <x v="1"/>
    <s v="United States"/>
    <x v="352"/>
    <x v="42"/>
    <x v="1"/>
    <s v="FUR-TA-10003473"/>
    <s v="Furniture"/>
    <x v="2"/>
    <s v="Bretford Rectangular Conference Table Tops"/>
    <n v="1128.3900000000001"/>
    <n v="3"/>
    <n v="259.52969999999999"/>
    <x v="2"/>
    <x v="4"/>
  </r>
  <r>
    <x v="1556"/>
    <x v="836"/>
    <d v="2017-06-19T00:00:00"/>
    <x v="1"/>
    <s v="JE-15715"/>
    <s v="Joe Elijah"/>
    <x v="0"/>
    <s v="United States"/>
    <x v="91"/>
    <x v="30"/>
    <x v="0"/>
    <s v="FUR-CH-10000847"/>
    <s v="Furniture"/>
    <x v="1"/>
    <s v="Global Executive Mid-Back Manager's Chair"/>
    <n v="698.35199999999998"/>
    <n v="3"/>
    <n v="52.376399999999997"/>
    <x v="4"/>
    <x v="2"/>
  </r>
  <r>
    <x v="1556"/>
    <x v="836"/>
    <d v="2017-06-19T00:00:00"/>
    <x v="1"/>
    <s v="JE-15715"/>
    <s v="Joe Elijah"/>
    <x v="0"/>
    <s v="United States"/>
    <x v="91"/>
    <x v="30"/>
    <x v="0"/>
    <s v="FUR-BO-10000468"/>
    <s v="Furniture"/>
    <x v="0"/>
    <s v="O'Sullivan 2-Shelf Heavy-Duty Bookcases"/>
    <n v="77.727999999999994"/>
    <n v="2"/>
    <n v="-3.8864000000000001"/>
    <x v="4"/>
    <x v="2"/>
  </r>
  <r>
    <x v="1557"/>
    <x v="480"/>
    <d v="2016-11-12T00:00:00"/>
    <x v="2"/>
    <s v="AB-10015"/>
    <s v="Aaron Bergman"/>
    <x v="0"/>
    <s v="United States"/>
    <x v="258"/>
    <x v="37"/>
    <x v="3"/>
    <s v="FUR-BO-10003966"/>
    <s v="Furniture"/>
    <x v="0"/>
    <s v="Sauder Facets Collection Library, Sky Alder Finish"/>
    <n v="341.96"/>
    <n v="2"/>
    <n v="54.7136"/>
    <x v="3"/>
    <x v="0"/>
  </r>
  <r>
    <x v="1558"/>
    <x v="51"/>
    <d v="2016-09-16T00:00:00"/>
    <x v="1"/>
    <s v="MC-17590"/>
    <s v="Matt Collister"/>
    <x v="1"/>
    <s v="United States"/>
    <x v="353"/>
    <x v="7"/>
    <x v="2"/>
    <s v="FUR-FU-10002813"/>
    <s v="Furniture"/>
    <x v="3"/>
    <s v="DAX Contemporary Wood Frame with Silver Metal Mat, Desktop, 11 x 14 Size"/>
    <n v="40.479999999999997"/>
    <n v="2"/>
    <n v="14.572800000000001"/>
    <x v="4"/>
    <x v="4"/>
  </r>
  <r>
    <x v="1559"/>
    <x v="155"/>
    <d v="2015-07-31T00:00:00"/>
    <x v="1"/>
    <s v="CK-12760"/>
    <s v="Cyma Kinney"/>
    <x v="1"/>
    <s v="United States"/>
    <x v="110"/>
    <x v="22"/>
    <x v="1"/>
    <s v="FUR-CH-10003199"/>
    <s v="Furniture"/>
    <x v="1"/>
    <s v="Office Star - Contemporary Task Swivel Chair"/>
    <n v="266.35199999999998"/>
    <n v="3"/>
    <n v="13.317600000000001"/>
    <x v="2"/>
    <x v="3"/>
  </r>
  <r>
    <x v="1560"/>
    <x v="840"/>
    <d v="2015-11-19T00:00:00"/>
    <x v="1"/>
    <s v="DH-13675"/>
    <s v="Duane Huffman"/>
    <x v="2"/>
    <s v="United States"/>
    <x v="95"/>
    <x v="25"/>
    <x v="0"/>
    <s v="FUR-FU-10002759"/>
    <s v="Furniture"/>
    <x v="3"/>
    <s v="12-1/2 Diameter Round Wall Clock"/>
    <n v="39.96"/>
    <n v="2"/>
    <n v="14.3856"/>
    <x v="4"/>
    <x v="0"/>
  </r>
  <r>
    <x v="1561"/>
    <x v="473"/>
    <d v="2015-07-04T00:00:00"/>
    <x v="2"/>
    <s v="FA-14230"/>
    <s v="Frank Atkinson"/>
    <x v="1"/>
    <s v="United States"/>
    <x v="168"/>
    <x v="30"/>
    <x v="0"/>
    <s v="FUR-FU-10000076"/>
    <s v="Furniture"/>
    <x v="3"/>
    <s v="24-Hour Round Wall Clock"/>
    <n v="159.84"/>
    <n v="10"/>
    <n v="45.954000000000001"/>
    <x v="3"/>
    <x v="3"/>
  </r>
  <r>
    <x v="1562"/>
    <x v="795"/>
    <d v="2015-09-18T00:00:00"/>
    <x v="1"/>
    <s v="SN-20560"/>
    <s v="Skye Norling"/>
    <x v="2"/>
    <s v="United States"/>
    <x v="309"/>
    <x v="18"/>
    <x v="2"/>
    <s v="FUR-FU-10002107"/>
    <s v="Furniture"/>
    <x v="3"/>
    <s v="Eldon Pizzaz Desk Accessories"/>
    <n v="8.92"/>
    <n v="4"/>
    <n v="3.9247999999999998"/>
    <x v="1"/>
    <x v="4"/>
  </r>
  <r>
    <x v="1563"/>
    <x v="23"/>
    <d v="2014-09-23T00:00:00"/>
    <x v="2"/>
    <s v="SB-20185"/>
    <s v="Sarah Brown"/>
    <x v="0"/>
    <s v="United States"/>
    <x v="9"/>
    <x v="8"/>
    <x v="3"/>
    <s v="FUR-BO-10004218"/>
    <s v="Furniture"/>
    <x v="0"/>
    <s v="Bush Heritage Pine Collection 5-Shelf Bookcase, Albany Pine Finish, *Special Order"/>
    <n v="493.43"/>
    <n v="5"/>
    <n v="-70.489999999999995"/>
    <x v="0"/>
    <x v="4"/>
  </r>
  <r>
    <x v="1564"/>
    <x v="451"/>
    <d v="2017-12-06T00:00:00"/>
    <x v="1"/>
    <s v="SH-19975"/>
    <s v="Sally Hughsby"/>
    <x v="1"/>
    <s v="United States"/>
    <x v="15"/>
    <x v="13"/>
    <x v="1"/>
    <s v="FUR-FU-10000023"/>
    <s v="Furniture"/>
    <x v="3"/>
    <s v="Eldon Wave Desk Accessories"/>
    <n v="70.680000000000007"/>
    <n v="12"/>
    <n v="31.0992"/>
    <x v="2"/>
    <x v="5"/>
  </r>
  <r>
    <x v="1565"/>
    <x v="451"/>
    <d v="2017-12-07T00:00:00"/>
    <x v="1"/>
    <s v="ML-17755"/>
    <s v="Max Ludwig"/>
    <x v="2"/>
    <s v="United States"/>
    <x v="354"/>
    <x v="2"/>
    <x v="1"/>
    <s v="FUR-FU-10003394"/>
    <s v="Furniture"/>
    <x v="3"/>
    <s v="Tenex &quot;The Solids&quot; Textured Chair Mats"/>
    <n v="629.64"/>
    <n v="9"/>
    <n v="107.03879999999999"/>
    <x v="6"/>
    <x v="5"/>
  </r>
  <r>
    <x v="1566"/>
    <x v="751"/>
    <d v="2016-09-18T00:00:00"/>
    <x v="2"/>
    <s v="CR-12625"/>
    <s v="Corey Roper"/>
    <x v="2"/>
    <s v="United States"/>
    <x v="29"/>
    <x v="24"/>
    <x v="0"/>
    <s v="FUR-CH-10001146"/>
    <s v="Furniture"/>
    <x v="1"/>
    <s v="Global Value Mid-Back Manager's Chair, Gray"/>
    <n v="121.78"/>
    <n v="2"/>
    <n v="30.445"/>
    <x v="3"/>
    <x v="4"/>
  </r>
  <r>
    <x v="1567"/>
    <x v="239"/>
    <d v="2015-12-06T00:00:00"/>
    <x v="1"/>
    <s v="LC-16960"/>
    <s v="Lindsay Castell"/>
    <x v="2"/>
    <s v="United States"/>
    <x v="53"/>
    <x v="2"/>
    <x v="1"/>
    <s v="FUR-CH-10003973"/>
    <s v="Furniture"/>
    <x v="1"/>
    <s v="GuestStacker Chair with Chrome Finish Legs"/>
    <n v="2676.672"/>
    <n v="9"/>
    <n v="267.66719999999998"/>
    <x v="2"/>
    <x v="5"/>
  </r>
  <r>
    <x v="1568"/>
    <x v="31"/>
    <d v="2014-08-12T00:00:00"/>
    <x v="1"/>
    <s v="GZ-14470"/>
    <s v="Gary Zandusky"/>
    <x v="0"/>
    <s v="United States"/>
    <x v="303"/>
    <x v="5"/>
    <x v="3"/>
    <s v="FUR-TA-10001307"/>
    <s v="Furniture"/>
    <x v="2"/>
    <s v="SAFCO PlanMaster Heigh-Adjustable Drafting Table Base, 43w x 30d x 30-37h, Black"/>
    <n v="489.23"/>
    <n v="2"/>
    <n v="41.933999999999997"/>
    <x v="1"/>
    <x v="10"/>
  </r>
  <r>
    <x v="1569"/>
    <x v="404"/>
    <d v="2016-08-22T00:00:00"/>
    <x v="1"/>
    <s v="BD-11320"/>
    <s v="Bill Donatelli"/>
    <x v="0"/>
    <s v="United States"/>
    <x v="2"/>
    <x v="2"/>
    <x v="1"/>
    <s v="FUR-FU-10004071"/>
    <s v="Furniture"/>
    <x v="3"/>
    <s v="Luxo Professional Magnifying Clamp-On Fluorescent Lamps"/>
    <n v="312.02999999999997"/>
    <n v="3"/>
    <n v="43.684199999999997"/>
    <x v="1"/>
    <x v="10"/>
  </r>
  <r>
    <x v="1570"/>
    <x v="841"/>
    <d v="2016-06-04T00:00:00"/>
    <x v="1"/>
    <s v="BP-11290"/>
    <s v="Beth Paige"/>
    <x v="0"/>
    <s v="United States"/>
    <x v="42"/>
    <x v="8"/>
    <x v="3"/>
    <s v="FUR-FU-10001379"/>
    <s v="Furniture"/>
    <x v="3"/>
    <s v="Executive Impressions 16-1/2&quot; Circular Wall Clock"/>
    <n v="32.064"/>
    <n v="3"/>
    <n v="-12.8256"/>
    <x v="4"/>
    <x v="7"/>
  </r>
  <r>
    <x v="1570"/>
    <x v="841"/>
    <d v="2016-06-04T00:00:00"/>
    <x v="1"/>
    <s v="BP-11290"/>
    <s v="Beth Paige"/>
    <x v="0"/>
    <s v="United States"/>
    <x v="42"/>
    <x v="8"/>
    <x v="3"/>
    <s v="FUR-CH-10000422"/>
    <s v="Furniture"/>
    <x v="1"/>
    <s v="Global Highback Leather Tilter in Burgundy"/>
    <n v="191.07900000000001"/>
    <n v="3"/>
    <n v="-38.215800000000002"/>
    <x v="4"/>
    <x v="7"/>
  </r>
  <r>
    <x v="1571"/>
    <x v="842"/>
    <d v="2014-04-08T00:00:00"/>
    <x v="1"/>
    <s v="AH-10690"/>
    <s v="Anna HŠberlin"/>
    <x v="1"/>
    <s v="United States"/>
    <x v="304"/>
    <x v="25"/>
    <x v="0"/>
    <s v="FUR-FU-10003192"/>
    <s v="Furniture"/>
    <x v="3"/>
    <s v="Luxo Adjustable Task Clamp Lamp"/>
    <n v="177.68"/>
    <n v="2"/>
    <n v="46.196800000000003"/>
    <x v="6"/>
    <x v="6"/>
  </r>
  <r>
    <x v="1572"/>
    <x v="803"/>
    <d v="2016-10-08T00:00:00"/>
    <x v="1"/>
    <s v="AH-10690"/>
    <s v="Anna HŠberlin"/>
    <x v="1"/>
    <s v="United States"/>
    <x v="355"/>
    <x v="1"/>
    <x v="0"/>
    <s v="FUR-FU-10002885"/>
    <s v="Furniture"/>
    <x v="3"/>
    <s v="Magna Visual Magnetic Picture Hangers"/>
    <n v="11.568"/>
    <n v="3"/>
    <n v="2.6027999999999998"/>
    <x v="4"/>
    <x v="1"/>
  </r>
  <r>
    <x v="1573"/>
    <x v="772"/>
    <d v="2016-02-03T00:00:00"/>
    <x v="1"/>
    <s v="DF-13135"/>
    <s v="David Flashing"/>
    <x v="0"/>
    <s v="United States"/>
    <x v="88"/>
    <x v="8"/>
    <x v="3"/>
    <s v="FUR-TA-10004256"/>
    <s v="Furniture"/>
    <x v="2"/>
    <s v="Bretford ÒJust In TimeÓ Height-Adjustable Multi-Task Work Tables"/>
    <n v="626.1"/>
    <n v="3"/>
    <n v="-538.44600000000003"/>
    <x v="4"/>
    <x v="8"/>
  </r>
  <r>
    <x v="1574"/>
    <x v="315"/>
    <d v="2015-04-17T00:00:00"/>
    <x v="1"/>
    <s v="FP-14320"/>
    <s v="Frank Preis"/>
    <x v="0"/>
    <s v="United States"/>
    <x v="156"/>
    <x v="5"/>
    <x v="3"/>
    <s v="FUR-TA-10000688"/>
    <s v="Furniture"/>
    <x v="2"/>
    <s v="Chromcraft Bull-Nose Wood Round Conference Table Top, Wood Base"/>
    <n v="609.98"/>
    <n v="4"/>
    <n v="-113.282"/>
    <x v="4"/>
    <x v="6"/>
  </r>
  <r>
    <x v="1574"/>
    <x v="315"/>
    <d v="2015-04-17T00:00:00"/>
    <x v="1"/>
    <s v="FP-14320"/>
    <s v="Frank Preis"/>
    <x v="0"/>
    <s v="United States"/>
    <x v="156"/>
    <x v="5"/>
    <x v="3"/>
    <s v="FUR-TA-10002530"/>
    <s v="Furniture"/>
    <x v="2"/>
    <s v="Iceberg OfficeWorks 42&quot; Round Tables"/>
    <n v="211.37200000000001"/>
    <n v="2"/>
    <n v="-45.293999999999997"/>
    <x v="4"/>
    <x v="6"/>
  </r>
  <r>
    <x v="1575"/>
    <x v="186"/>
    <d v="2017-12-24T00:00:00"/>
    <x v="1"/>
    <s v="HE-14800"/>
    <s v="Harold Engle"/>
    <x v="1"/>
    <s v="United States"/>
    <x v="79"/>
    <x v="16"/>
    <x v="3"/>
    <s v="FUR-FU-10001057"/>
    <s v="Furniture"/>
    <x v="3"/>
    <s v="Tensor Track Tree Floor Lamp"/>
    <n v="99.95"/>
    <n v="5"/>
    <n v="22.988499999999998"/>
    <x v="6"/>
    <x v="5"/>
  </r>
  <r>
    <x v="1576"/>
    <x v="269"/>
    <d v="2016-03-19T00:00:00"/>
    <x v="1"/>
    <s v="SP-20545"/>
    <s v="Sibella Parks"/>
    <x v="1"/>
    <s v="United States"/>
    <x v="356"/>
    <x v="16"/>
    <x v="3"/>
    <s v="FUR-FU-10003724"/>
    <s v="Furniture"/>
    <x v="3"/>
    <s v="Westinghouse Clip-On Gooseneck Lamps"/>
    <n v="16.739999999999998"/>
    <n v="2"/>
    <n v="4.3524000000000003"/>
    <x v="2"/>
    <x v="9"/>
  </r>
  <r>
    <x v="1577"/>
    <x v="843"/>
    <d v="2017-10-16T00:00:00"/>
    <x v="1"/>
    <s v="SW-20245"/>
    <s v="Scot Wooten"/>
    <x v="0"/>
    <s v="United States"/>
    <x v="14"/>
    <x v="8"/>
    <x v="3"/>
    <s v="FUR-CH-10001545"/>
    <s v="Furniture"/>
    <x v="1"/>
    <s v="Hon Comfortask Task/Swivel Chairs"/>
    <n v="239.358"/>
    <n v="3"/>
    <n v="-47.871600000000001"/>
    <x v="6"/>
    <x v="1"/>
  </r>
  <r>
    <x v="1578"/>
    <x v="313"/>
    <d v="2017-12-28T00:00:00"/>
    <x v="1"/>
    <s v="JL-15130"/>
    <s v="Jack Lebron"/>
    <x v="0"/>
    <s v="United States"/>
    <x v="38"/>
    <x v="9"/>
    <x v="0"/>
    <s v="FUR-TA-10002903"/>
    <s v="Furniture"/>
    <x v="2"/>
    <s v="Bevis Round Bullnose 29&quot; High Table Top"/>
    <n v="934.95600000000002"/>
    <n v="6"/>
    <n v="-249.32159999999999"/>
    <x v="6"/>
    <x v="5"/>
  </r>
  <r>
    <x v="1579"/>
    <x v="98"/>
    <d v="2014-08-10T00:00:00"/>
    <x v="0"/>
    <s v="VG-21790"/>
    <s v="Vivek Gonzalez"/>
    <x v="0"/>
    <s v="United States"/>
    <x v="51"/>
    <x v="1"/>
    <x v="0"/>
    <s v="FUR-BO-10000468"/>
    <s v="Furniture"/>
    <x v="0"/>
    <s v="O'Sullivan 2-Shelf Heavy-Duty Bookcases"/>
    <n v="155.45599999999999"/>
    <n v="4"/>
    <n v="-7.7728000000000002"/>
    <x v="3"/>
    <x v="10"/>
  </r>
  <r>
    <x v="1580"/>
    <x v="19"/>
    <d v="2017-12-28T00:00:00"/>
    <x v="2"/>
    <s v="JH-15430"/>
    <s v="Jennifer Halladay"/>
    <x v="0"/>
    <s v="United States"/>
    <x v="173"/>
    <x v="1"/>
    <x v="0"/>
    <s v="FUR-FU-10004963"/>
    <s v="Furniture"/>
    <x v="3"/>
    <s v="Eldon 400 Class Desk Accessories, Black Carbon"/>
    <n v="21"/>
    <n v="3"/>
    <n v="5.7750000000000004"/>
    <x v="0"/>
    <x v="5"/>
  </r>
  <r>
    <x v="1581"/>
    <x v="608"/>
    <d v="2017-11-30T00:00:00"/>
    <x v="1"/>
    <s v="RO-19780"/>
    <s v="Rose O'Brian"/>
    <x v="0"/>
    <s v="United States"/>
    <x v="6"/>
    <x v="5"/>
    <x v="3"/>
    <s v="FUR-CH-10002126"/>
    <s v="Furniture"/>
    <x v="1"/>
    <s v="Hon Deluxe Fabric Upholstered Stacking Chairs"/>
    <n v="853.93"/>
    <n v="5"/>
    <n v="-24.398"/>
    <x v="2"/>
    <x v="0"/>
  </r>
  <r>
    <x v="1582"/>
    <x v="541"/>
    <d v="2016-11-07T00:00:00"/>
    <x v="2"/>
    <s v="LW-17125"/>
    <s v="Liz Willingham"/>
    <x v="0"/>
    <s v="United States"/>
    <x v="304"/>
    <x v="25"/>
    <x v="0"/>
    <s v="FUR-FU-10004665"/>
    <s v="Furniture"/>
    <x v="3"/>
    <s v="3M Polarizing Task Lamp with Clamp Arm, Light Gray"/>
    <n v="273.95999999999998"/>
    <n v="2"/>
    <n v="71.229600000000005"/>
    <x v="3"/>
    <x v="0"/>
  </r>
  <r>
    <x v="1582"/>
    <x v="541"/>
    <d v="2016-11-07T00:00:00"/>
    <x v="2"/>
    <s v="LW-17125"/>
    <s v="Liz Willingham"/>
    <x v="0"/>
    <s v="United States"/>
    <x v="304"/>
    <x v="25"/>
    <x v="0"/>
    <s v="FUR-FU-10003806"/>
    <s v="Furniture"/>
    <x v="3"/>
    <s v="Tenex Chairmat w/ Average Lip, 45&quot; x 53&quot;"/>
    <n v="756.8"/>
    <n v="5"/>
    <n v="75.680000000000007"/>
    <x v="3"/>
    <x v="0"/>
  </r>
  <r>
    <x v="1583"/>
    <x v="361"/>
    <d v="2016-11-07T00:00:00"/>
    <x v="1"/>
    <s v="JP-16135"/>
    <s v="Julie Prescott"/>
    <x v="2"/>
    <s v="United States"/>
    <x v="3"/>
    <x v="3"/>
    <x v="2"/>
    <s v="FUR-CH-10004886"/>
    <s v="Furniture"/>
    <x v="1"/>
    <s v="Bevis Steel Folding Chairs"/>
    <n v="470.15499999999997"/>
    <n v="7"/>
    <n v="-13.433"/>
    <x v="4"/>
    <x v="0"/>
  </r>
  <r>
    <x v="1584"/>
    <x v="781"/>
    <d v="2017-03-28T00:00:00"/>
    <x v="1"/>
    <s v="MV-17485"/>
    <s v="Mark Van Huff"/>
    <x v="0"/>
    <s v="United States"/>
    <x v="13"/>
    <x v="7"/>
    <x v="2"/>
    <s v="FUR-CH-10000665"/>
    <s v="Furniture"/>
    <x v="1"/>
    <s v="Global Airflow Leather Mesh Back Chair, Black"/>
    <n v="271.76400000000001"/>
    <n v="2"/>
    <n v="60.392000000000003"/>
    <x v="4"/>
    <x v="9"/>
  </r>
  <r>
    <x v="1585"/>
    <x v="844"/>
    <d v="2017-04-27T00:00:00"/>
    <x v="0"/>
    <s v="RL-19615"/>
    <s v="Rob Lucas"/>
    <x v="0"/>
    <s v="United States"/>
    <x v="2"/>
    <x v="2"/>
    <x v="1"/>
    <s v="FUR-BO-10004709"/>
    <s v="Furniture"/>
    <x v="0"/>
    <s v="Bush Westfield Collection Bookcases, Medium Cherry Finish"/>
    <n v="344.98099999999999"/>
    <n v="7"/>
    <n v="28.4102"/>
    <x v="3"/>
    <x v="6"/>
  </r>
  <r>
    <x v="1586"/>
    <x v="68"/>
    <d v="2017-11-26T00:00:00"/>
    <x v="2"/>
    <s v="JP-15460"/>
    <s v="Jennifer Patt"/>
    <x v="1"/>
    <s v="United States"/>
    <x v="144"/>
    <x v="5"/>
    <x v="3"/>
    <s v="FUR-TA-10003008"/>
    <s v="Furniture"/>
    <x v="2"/>
    <s v="Lesro Round Back Collection Coffee Table, End Table"/>
    <n v="127.785"/>
    <n v="1"/>
    <n v="-31.0335"/>
    <x v="0"/>
    <x v="0"/>
  </r>
  <r>
    <x v="1587"/>
    <x v="845"/>
    <d v="2016-03-12T00:00:00"/>
    <x v="1"/>
    <s v="LC-16870"/>
    <s v="Lena Cacioppo"/>
    <x v="0"/>
    <s v="United States"/>
    <x v="9"/>
    <x v="8"/>
    <x v="3"/>
    <s v="FUR-FU-10003773"/>
    <s v="Furniture"/>
    <x v="3"/>
    <s v="Eldon Cleatmat Plus Chair Mats for High Pile Carpets"/>
    <n v="159.04"/>
    <n v="5"/>
    <n v="-194.82400000000001"/>
    <x v="6"/>
    <x v="9"/>
  </r>
  <r>
    <x v="1587"/>
    <x v="845"/>
    <d v="2016-03-12T00:00:00"/>
    <x v="1"/>
    <s v="LC-16870"/>
    <s v="Lena Cacioppo"/>
    <x v="0"/>
    <s v="United States"/>
    <x v="9"/>
    <x v="8"/>
    <x v="3"/>
    <s v="FUR-TA-10000849"/>
    <s v="Furniture"/>
    <x v="2"/>
    <s v="Bevis Rectangular Conference Tables"/>
    <n v="145.97999999999999"/>
    <n v="2"/>
    <n v="-99.266400000000004"/>
    <x v="6"/>
    <x v="9"/>
  </r>
  <r>
    <x v="1588"/>
    <x v="62"/>
    <d v="2015-12-07T00:00:00"/>
    <x v="1"/>
    <s v="JG-15115"/>
    <s v="Jack Garza"/>
    <x v="0"/>
    <s v="United States"/>
    <x v="51"/>
    <x v="30"/>
    <x v="0"/>
    <s v="FUR-FU-10000222"/>
    <s v="Furniture"/>
    <x v="3"/>
    <s v="Seth Thomas 16&quot; Steel Case Clock"/>
    <n v="77.951999999999998"/>
    <n v="3"/>
    <n v="12.667199999999999"/>
    <x v="4"/>
    <x v="5"/>
  </r>
  <r>
    <x v="1589"/>
    <x v="37"/>
    <d v="2015-12-30T00:00:00"/>
    <x v="1"/>
    <s v="HM-14860"/>
    <s v="Harry Marie"/>
    <x v="1"/>
    <s v="United States"/>
    <x v="76"/>
    <x v="23"/>
    <x v="3"/>
    <s v="FUR-FU-10003026"/>
    <s v="Furniture"/>
    <x v="3"/>
    <s v="Eldon Regeneration Recycled Desk Accessories, Black"/>
    <n v="9.68"/>
    <n v="2"/>
    <n v="3.7751999999999999"/>
    <x v="6"/>
    <x v="5"/>
  </r>
  <r>
    <x v="1590"/>
    <x v="259"/>
    <d v="2017-10-21T00:00:00"/>
    <x v="1"/>
    <s v="VP-21760"/>
    <s v="Victoria Pisteka"/>
    <x v="1"/>
    <s v="United States"/>
    <x v="11"/>
    <x v="9"/>
    <x v="0"/>
    <s v="FUR-TA-10001950"/>
    <s v="Furniture"/>
    <x v="2"/>
    <s v="Balt Solid Wood Round Tables"/>
    <n v="1875.258"/>
    <n v="7"/>
    <n v="-968.88329999999996"/>
    <x v="2"/>
    <x v="1"/>
  </r>
  <r>
    <x v="1591"/>
    <x v="846"/>
    <d v="2017-05-17T00:00:00"/>
    <x v="1"/>
    <s v="MH-18115"/>
    <s v="Mick Hernandez"/>
    <x v="2"/>
    <s v="United States"/>
    <x v="3"/>
    <x v="3"/>
    <x v="2"/>
    <s v="FUR-CH-10001482"/>
    <s v="Furniture"/>
    <x v="1"/>
    <s v="Office Star - Mesh Screen back chair with Vinyl seat"/>
    <n v="458.43"/>
    <n v="5"/>
    <n v="-124.431"/>
    <x v="4"/>
    <x v="7"/>
  </r>
  <r>
    <x v="1592"/>
    <x v="414"/>
    <d v="2017-11-18T00:00:00"/>
    <x v="3"/>
    <s v="NB-18655"/>
    <s v="Nona Balk"/>
    <x v="1"/>
    <s v="United States"/>
    <x v="79"/>
    <x v="16"/>
    <x v="3"/>
    <s v="FUR-FU-10000206"/>
    <s v="Furniture"/>
    <x v="3"/>
    <s v="GE General Purpose, Extra Long Life, Showcase &amp; Floodlight Incandescent Bulbs"/>
    <n v="5.82"/>
    <n v="2"/>
    <n v="2.7353999999999998"/>
    <x v="7"/>
    <x v="0"/>
  </r>
  <r>
    <x v="1593"/>
    <x v="629"/>
    <d v="2016-02-22T00:00:00"/>
    <x v="2"/>
    <s v="EA-14035"/>
    <s v="Erin Ashbrook"/>
    <x v="1"/>
    <s v="United States"/>
    <x v="13"/>
    <x v="7"/>
    <x v="2"/>
    <s v="FUR-FU-10001861"/>
    <s v="Furniture"/>
    <x v="3"/>
    <s v="Floodlight Indoor Halogen Bulbs, 1 Bulb per Pack, 60 Watts"/>
    <n v="135.80000000000001"/>
    <n v="7"/>
    <n v="66.542000000000002"/>
    <x v="5"/>
    <x v="11"/>
  </r>
  <r>
    <x v="1594"/>
    <x v="439"/>
    <d v="2014-12-18T00:00:00"/>
    <x v="0"/>
    <s v="LE-16810"/>
    <s v="Laurel Elliston"/>
    <x v="0"/>
    <s v="United States"/>
    <x v="76"/>
    <x v="25"/>
    <x v="0"/>
    <s v="FUR-FU-10002268"/>
    <s v="Furniture"/>
    <x v="3"/>
    <s v="Ultra Door Push Plate"/>
    <n v="29.46"/>
    <n v="6"/>
    <n v="9.7218"/>
    <x v="3"/>
    <x v="5"/>
  </r>
  <r>
    <x v="1595"/>
    <x v="847"/>
    <d v="2016-08-23T00:00:00"/>
    <x v="2"/>
    <s v="TC-21475"/>
    <s v="Tony Chapman"/>
    <x v="2"/>
    <s v="United States"/>
    <x v="200"/>
    <x v="12"/>
    <x v="1"/>
    <s v="FUR-FU-10001979"/>
    <s v="Furniture"/>
    <x v="3"/>
    <s v="Dana Halogen Swing-Arm Architect Lamp"/>
    <n v="98.328000000000003"/>
    <n v="3"/>
    <n v="9.8328000000000007"/>
    <x v="5"/>
    <x v="10"/>
  </r>
  <r>
    <x v="1596"/>
    <x v="330"/>
    <d v="2015-07-02T00:00:00"/>
    <x v="2"/>
    <s v="SG-20470"/>
    <s v="Sheri Gordon"/>
    <x v="0"/>
    <s v="United States"/>
    <x v="13"/>
    <x v="7"/>
    <x v="2"/>
    <s v="FUR-CH-10001482"/>
    <s v="Furniture"/>
    <x v="1"/>
    <s v="Office Star - Mesh Screen back chair with Vinyl seat"/>
    <n v="117.88200000000001"/>
    <n v="1"/>
    <n v="1.3098000000000001"/>
    <x v="0"/>
    <x v="2"/>
  </r>
  <r>
    <x v="1597"/>
    <x v="517"/>
    <d v="2016-07-02T00:00:00"/>
    <x v="1"/>
    <s v="VP-21760"/>
    <s v="Victoria Pisteka"/>
    <x v="1"/>
    <s v="United States"/>
    <x v="13"/>
    <x v="7"/>
    <x v="2"/>
    <s v="FUR-FU-10003976"/>
    <s v="Furniture"/>
    <x v="3"/>
    <s v="DAX Executive Solid Wood Document Frame, Desktop or Hang, Mahogany, 5 x 7"/>
    <n v="37.74"/>
    <n v="3"/>
    <n v="12.8316"/>
    <x v="6"/>
    <x v="2"/>
  </r>
  <r>
    <x v="1598"/>
    <x v="334"/>
    <d v="2016-09-22T00:00:00"/>
    <x v="1"/>
    <s v="PO-18865"/>
    <s v="Patrick O'Donnell"/>
    <x v="0"/>
    <s v="United States"/>
    <x v="357"/>
    <x v="20"/>
    <x v="2"/>
    <s v="FUR-FU-10002597"/>
    <s v="Furniture"/>
    <x v="3"/>
    <s v="C-Line Magnetic Cubicle Keepers, Clear Polypropylene"/>
    <n v="14.82"/>
    <n v="3"/>
    <n v="6.2244000000000002"/>
    <x v="2"/>
    <x v="4"/>
  </r>
  <r>
    <x v="1598"/>
    <x v="334"/>
    <d v="2016-09-22T00:00:00"/>
    <x v="1"/>
    <s v="PO-18865"/>
    <s v="Patrick O'Donnell"/>
    <x v="0"/>
    <s v="United States"/>
    <x v="357"/>
    <x v="20"/>
    <x v="2"/>
    <s v="FUR-FU-10004864"/>
    <s v="Furniture"/>
    <x v="3"/>
    <s v="Howard Miller 14-1/2&quot; Diameter Chrome Round Wall Clock"/>
    <n v="191.82"/>
    <n v="3"/>
    <n v="61.382399999999997"/>
    <x v="2"/>
    <x v="4"/>
  </r>
  <r>
    <x v="1599"/>
    <x v="449"/>
    <d v="2017-09-01T00:00:00"/>
    <x v="3"/>
    <s v="RW-19540"/>
    <s v="Rick Wilson"/>
    <x v="1"/>
    <s v="United States"/>
    <x v="15"/>
    <x v="13"/>
    <x v="1"/>
    <s v="FUR-TA-10002607"/>
    <s v="Furniture"/>
    <x v="2"/>
    <s v="KI Conference Tables"/>
    <n v="283.56"/>
    <n v="4"/>
    <n v="45.369599999999998"/>
    <x v="7"/>
    <x v="4"/>
  </r>
  <r>
    <x v="1600"/>
    <x v="848"/>
    <d v="2017-06-26T00:00:00"/>
    <x v="1"/>
    <s v="RB-19465"/>
    <s v="Rick Bensley"/>
    <x v="2"/>
    <s v="United States"/>
    <x v="25"/>
    <x v="17"/>
    <x v="3"/>
    <s v="FUR-CH-10000454"/>
    <s v="Furniture"/>
    <x v="1"/>
    <s v="Hon Deluxe Fabric Upholstered Stacking Chairs, Rounded Back"/>
    <n v="487.96"/>
    <n v="2"/>
    <n v="146.38800000000001"/>
    <x v="4"/>
    <x v="2"/>
  </r>
  <r>
    <x v="1601"/>
    <x v="539"/>
    <d v="2014-09-24T00:00:00"/>
    <x v="1"/>
    <s v="ND-18460"/>
    <s v="Neil Ducich"/>
    <x v="1"/>
    <s v="United States"/>
    <x v="262"/>
    <x v="22"/>
    <x v="1"/>
    <s v="FUR-TA-10004607"/>
    <s v="Furniture"/>
    <x v="2"/>
    <s v="Hon 2111 Invitation Series Straight Table"/>
    <n v="73.915000000000006"/>
    <n v="1"/>
    <n v="-45.827300000000001"/>
    <x v="2"/>
    <x v="4"/>
  </r>
  <r>
    <x v="1602"/>
    <x v="849"/>
    <d v="2014-10-03T00:00:00"/>
    <x v="1"/>
    <s v="XP-21865"/>
    <s v="Xylona Preis"/>
    <x v="0"/>
    <s v="United States"/>
    <x v="358"/>
    <x v="1"/>
    <x v="0"/>
    <s v="FUR-FU-10000277"/>
    <s v="Furniture"/>
    <x v="3"/>
    <s v="Deflect-o DuraMat Antistatic Studded Beveled Mat for Medium Pile Carpeting"/>
    <n v="337.08800000000002"/>
    <n v="4"/>
    <n v="16.854399999999998"/>
    <x v="2"/>
    <x v="4"/>
  </r>
  <r>
    <x v="1603"/>
    <x v="46"/>
    <d v="2015-11-04T00:00:00"/>
    <x v="2"/>
    <s v="ED-13885"/>
    <s v="Emily Ducich"/>
    <x v="2"/>
    <s v="United States"/>
    <x v="13"/>
    <x v="7"/>
    <x v="2"/>
    <s v="FUR-CH-10002073"/>
    <s v="Furniture"/>
    <x v="1"/>
    <s v="Hon Olson Stacker Chairs"/>
    <n v="2621.3220000000001"/>
    <n v="11"/>
    <n v="553.39020000000005"/>
    <x v="3"/>
    <x v="0"/>
  </r>
  <r>
    <x v="1604"/>
    <x v="798"/>
    <d v="2015-10-24T00:00:00"/>
    <x v="1"/>
    <s v="SV-20785"/>
    <s v="Stewart Visinsky"/>
    <x v="0"/>
    <s v="United States"/>
    <x v="2"/>
    <x v="2"/>
    <x v="1"/>
    <s v="FUR-FU-10003424"/>
    <s v="Furniture"/>
    <x v="3"/>
    <s v="Nu-Dell Oak Frame"/>
    <n v="74.760000000000005"/>
    <n v="7"/>
    <n v="23.923200000000001"/>
    <x v="4"/>
    <x v="1"/>
  </r>
  <r>
    <x v="1604"/>
    <x v="798"/>
    <d v="2015-10-24T00:00:00"/>
    <x v="1"/>
    <s v="SV-20785"/>
    <s v="Stewart Visinsky"/>
    <x v="0"/>
    <s v="United States"/>
    <x v="2"/>
    <x v="2"/>
    <x v="1"/>
    <s v="FUR-TA-10001086"/>
    <s v="Furniture"/>
    <x v="2"/>
    <s v="SAFCO PlanMaster Boards, 60w x 37-1/2d, White Melamine"/>
    <n v="364.77600000000001"/>
    <n v="3"/>
    <n v="27.3582"/>
    <x v="4"/>
    <x v="1"/>
  </r>
  <r>
    <x v="1605"/>
    <x v="184"/>
    <d v="2016-06-18T00:00:00"/>
    <x v="1"/>
    <s v="AR-10825"/>
    <s v="Anthony Rawles"/>
    <x v="1"/>
    <s v="United States"/>
    <x v="15"/>
    <x v="13"/>
    <x v="1"/>
    <s v="FUR-TA-10004619"/>
    <s v="Furniture"/>
    <x v="2"/>
    <s v="Hon Non-Folding Utility Tables"/>
    <n v="1115.17"/>
    <n v="7"/>
    <n v="334.55099999999999"/>
    <x v="4"/>
    <x v="2"/>
  </r>
  <r>
    <x v="1606"/>
    <x v="227"/>
    <d v="2016-09-05T00:00:00"/>
    <x v="0"/>
    <s v="BM-11140"/>
    <s v="Becky Martin"/>
    <x v="0"/>
    <s v="United States"/>
    <x v="67"/>
    <x v="13"/>
    <x v="1"/>
    <s v="FUR-CH-10003061"/>
    <s v="Furniture"/>
    <x v="1"/>
    <s v="Global Leather Task Chair, Black"/>
    <n v="215.976"/>
    <n v="3"/>
    <n v="-2.6997"/>
    <x v="0"/>
    <x v="4"/>
  </r>
  <r>
    <x v="1607"/>
    <x v="423"/>
    <d v="2017-12-05T00:00:00"/>
    <x v="2"/>
    <s v="KE-16420"/>
    <s v="Katrina Edelman"/>
    <x v="1"/>
    <s v="United States"/>
    <x v="3"/>
    <x v="3"/>
    <x v="2"/>
    <s v="FUR-FU-10001918"/>
    <s v="Furniture"/>
    <x v="3"/>
    <s v="C-Line Cubicle Keepers Polyproplyene Holder With Velcro Backings"/>
    <n v="11.352"/>
    <n v="3"/>
    <n v="2.6960999999999999"/>
    <x v="5"/>
    <x v="5"/>
  </r>
  <r>
    <x v="1608"/>
    <x v="285"/>
    <d v="2016-02-23T00:00:00"/>
    <x v="1"/>
    <s v="GW-14605"/>
    <s v="Giulietta Weimer"/>
    <x v="0"/>
    <s v="United States"/>
    <x v="0"/>
    <x v="0"/>
    <x v="0"/>
    <s v="FUR-FU-10003773"/>
    <s v="Furniture"/>
    <x v="3"/>
    <s v="Eldon Cleatmat Plus Chair Mats for High Pile Carpets"/>
    <n v="318.08"/>
    <n v="4"/>
    <n v="34.988799999999998"/>
    <x v="1"/>
    <x v="11"/>
  </r>
  <r>
    <x v="1609"/>
    <x v="73"/>
    <d v="2016-09-30T00:00:00"/>
    <x v="1"/>
    <s v="LR-17035"/>
    <s v="Lisa Ryan"/>
    <x v="1"/>
    <s v="United States"/>
    <x v="6"/>
    <x v="5"/>
    <x v="3"/>
    <s v="FUR-CH-10000513"/>
    <s v="Furniture"/>
    <x v="1"/>
    <s v="High-Back Leather Manager's Chair"/>
    <n v="454.96499999999997"/>
    <n v="5"/>
    <n v="-136.48949999999999"/>
    <x v="4"/>
    <x v="4"/>
  </r>
  <r>
    <x v="1610"/>
    <x v="741"/>
    <d v="2015-07-03T00:00:00"/>
    <x v="0"/>
    <s v="DW-13585"/>
    <s v="Dorothy Wardle"/>
    <x v="1"/>
    <s v="United States"/>
    <x v="8"/>
    <x v="15"/>
    <x v="2"/>
    <s v="FUR-BO-10001918"/>
    <s v="Furniture"/>
    <x v="0"/>
    <s v="Sauder Forest Hills Library with Doors, Woodland Oak Finish"/>
    <n v="482.94"/>
    <n v="6"/>
    <n v="-376.69319999999999"/>
    <x v="2"/>
    <x v="2"/>
  </r>
  <r>
    <x v="1611"/>
    <x v="86"/>
    <d v="2015-11-12T00:00:00"/>
    <x v="1"/>
    <s v="AB-10105"/>
    <s v="Adrian Barton"/>
    <x v="0"/>
    <s v="United States"/>
    <x v="6"/>
    <x v="5"/>
    <x v="3"/>
    <s v="FUR-FU-10000193"/>
    <s v="Furniture"/>
    <x v="3"/>
    <s v="Tenex Chairmats For Use with Hard Floors"/>
    <n v="64.959999999999994"/>
    <n v="5"/>
    <n v="-84.447999999999993"/>
    <x v="2"/>
    <x v="0"/>
  </r>
  <r>
    <x v="1612"/>
    <x v="850"/>
    <d v="2017-01-24T00:00:00"/>
    <x v="0"/>
    <s v="NS-18505"/>
    <s v="Neola Schneider"/>
    <x v="0"/>
    <s v="United States"/>
    <x v="3"/>
    <x v="3"/>
    <x v="2"/>
    <s v="FUR-FU-10002759"/>
    <s v="Furniture"/>
    <x v="3"/>
    <s v="12-1/2 Diameter Round Wall Clock"/>
    <n v="31.968"/>
    <n v="2"/>
    <n v="6.3936000000000002"/>
    <x v="2"/>
    <x v="8"/>
  </r>
  <r>
    <x v="1612"/>
    <x v="850"/>
    <d v="2017-01-24T00:00:00"/>
    <x v="0"/>
    <s v="NS-18505"/>
    <s v="Neola Schneider"/>
    <x v="0"/>
    <s v="United States"/>
    <x v="3"/>
    <x v="3"/>
    <x v="2"/>
    <s v="FUR-CH-10000309"/>
    <s v="Furniture"/>
    <x v="1"/>
    <s v="Global Comet Stacking Arm Chair"/>
    <n v="887.27099999999996"/>
    <n v="3"/>
    <n v="-63.3765"/>
    <x v="2"/>
    <x v="8"/>
  </r>
  <r>
    <x v="1613"/>
    <x v="851"/>
    <d v="2016-08-20T00:00:00"/>
    <x v="0"/>
    <s v="MA-17560"/>
    <s v="Matt Abelman"/>
    <x v="2"/>
    <s v="United States"/>
    <x v="6"/>
    <x v="5"/>
    <x v="3"/>
    <s v="FUR-FU-10001940"/>
    <s v="Furniture"/>
    <x v="3"/>
    <s v="Staple-based wall hangings"/>
    <n v="9.5519999999999996"/>
    <n v="3"/>
    <n v="-3.8208000000000002"/>
    <x v="3"/>
    <x v="10"/>
  </r>
  <r>
    <x v="1613"/>
    <x v="851"/>
    <d v="2016-08-20T00:00:00"/>
    <x v="0"/>
    <s v="MA-17560"/>
    <s v="Matt Abelman"/>
    <x v="2"/>
    <s v="United States"/>
    <x v="6"/>
    <x v="5"/>
    <x v="3"/>
    <s v="FUR-FU-10000320"/>
    <s v="Furniture"/>
    <x v="3"/>
    <s v="OIC Stacking Trays"/>
    <n v="5.3440000000000003"/>
    <n v="4"/>
    <n v="-2.1375999999999999"/>
    <x v="3"/>
    <x v="10"/>
  </r>
  <r>
    <x v="1614"/>
    <x v="852"/>
    <d v="2016-03-26T00:00:00"/>
    <x v="0"/>
    <s v="DC-12850"/>
    <s v="Dan Campbell"/>
    <x v="0"/>
    <s v="United States"/>
    <x v="59"/>
    <x v="15"/>
    <x v="2"/>
    <s v="FUR-BO-10004357"/>
    <s v="Furniture"/>
    <x v="0"/>
    <s v="O'Sullivan Living Dimensions 3-Shelf Bookcases"/>
    <n v="301.47000000000003"/>
    <n v="3"/>
    <n v="-241.17599999999999"/>
    <x v="3"/>
    <x v="9"/>
  </r>
  <r>
    <x v="1615"/>
    <x v="15"/>
    <d v="2017-06-01T00:00:00"/>
    <x v="1"/>
    <s v="MD-17860"/>
    <s v="Michael Dominguez"/>
    <x v="1"/>
    <s v="United States"/>
    <x v="359"/>
    <x v="32"/>
    <x v="2"/>
    <s v="FUR-FU-10001473"/>
    <s v="Furniture"/>
    <x v="3"/>
    <s v="DAX Wood Document Frame"/>
    <n v="27.46"/>
    <n v="2"/>
    <n v="9.8856000000000002"/>
    <x v="4"/>
    <x v="7"/>
  </r>
  <r>
    <x v="1616"/>
    <x v="853"/>
    <d v="2016-08-03T00:00:00"/>
    <x v="0"/>
    <s v="KM-16660"/>
    <s v="Khloe Miller"/>
    <x v="0"/>
    <s v="United States"/>
    <x v="3"/>
    <x v="3"/>
    <x v="2"/>
    <s v="FUR-FU-10004864"/>
    <s v="Furniture"/>
    <x v="3"/>
    <s v="Eldon 500 Class Desk Accessories"/>
    <n v="19.312000000000001"/>
    <n v="2"/>
    <n v="3.1381999999999999"/>
    <x v="3"/>
    <x v="10"/>
  </r>
  <r>
    <x v="1617"/>
    <x v="6"/>
    <d v="2016-12-12T00:00:00"/>
    <x v="1"/>
    <s v="AG-10900"/>
    <s v="Arthur Gainer"/>
    <x v="0"/>
    <s v="United States"/>
    <x v="360"/>
    <x v="16"/>
    <x v="3"/>
    <s v="FUR-BO-10003450"/>
    <s v="Furniture"/>
    <x v="0"/>
    <s v="Bush Westfield Collection Bookcases, Dark Cherry Finish"/>
    <n v="405.86"/>
    <n v="7"/>
    <n v="32.468800000000002"/>
    <x v="4"/>
    <x v="5"/>
  </r>
  <r>
    <x v="1617"/>
    <x v="6"/>
    <d v="2016-12-12T00:00:00"/>
    <x v="1"/>
    <s v="AG-10900"/>
    <s v="Arthur Gainer"/>
    <x v="0"/>
    <s v="United States"/>
    <x v="360"/>
    <x v="16"/>
    <x v="3"/>
    <s v="FUR-CH-10002335"/>
    <s v="Furniture"/>
    <x v="1"/>
    <s v="Hon GuestStacker Chair"/>
    <n v="680.01"/>
    <n v="3"/>
    <n v="176.80260000000001"/>
    <x v="4"/>
    <x v="5"/>
  </r>
  <r>
    <x v="1618"/>
    <x v="193"/>
    <d v="2016-12-01T00:00:00"/>
    <x v="3"/>
    <s v="LB-16795"/>
    <s v="Laurel Beltran"/>
    <x v="2"/>
    <s v="United States"/>
    <x v="299"/>
    <x v="2"/>
    <x v="1"/>
    <s v="FUR-FU-10000448"/>
    <s v="Furniture"/>
    <x v="3"/>
    <s v="Tenex Chairmats For Use With Carpeted Floors"/>
    <n v="31.96"/>
    <n v="2"/>
    <n v="1.5980000000000001"/>
    <x v="7"/>
    <x v="5"/>
  </r>
  <r>
    <x v="1619"/>
    <x v="854"/>
    <d v="2017-08-11T00:00:00"/>
    <x v="1"/>
    <s v="JL-15505"/>
    <s v="Jeremy Lonsdale"/>
    <x v="0"/>
    <s v="United States"/>
    <x v="327"/>
    <x v="2"/>
    <x v="1"/>
    <s v="FUR-FU-10004848"/>
    <s v="Furniture"/>
    <x v="3"/>
    <s v="Howard Miller 13-3/4&quot; Diameter Brushed Chrome Round Wall Clock"/>
    <n v="51.75"/>
    <n v="1"/>
    <n v="15.525"/>
    <x v="4"/>
    <x v="10"/>
  </r>
  <r>
    <x v="1619"/>
    <x v="854"/>
    <d v="2017-08-11T00:00:00"/>
    <x v="1"/>
    <s v="JL-15505"/>
    <s v="Jeremy Lonsdale"/>
    <x v="0"/>
    <s v="United States"/>
    <x v="327"/>
    <x v="2"/>
    <x v="1"/>
    <s v="FUR-CH-10002317"/>
    <s v="Furniture"/>
    <x v="1"/>
    <s v="Global Enterprise Series Seating Low-Back Swivel/Tilt Chairs"/>
    <n v="207.184"/>
    <n v="1"/>
    <n v="25.898"/>
    <x v="4"/>
    <x v="10"/>
  </r>
  <r>
    <x v="1620"/>
    <x v="769"/>
    <d v="2014-05-15T00:00:00"/>
    <x v="1"/>
    <s v="GM-14680"/>
    <s v="Greg Matthias"/>
    <x v="0"/>
    <s v="United States"/>
    <x v="124"/>
    <x v="2"/>
    <x v="1"/>
    <s v="FUR-CH-10002320"/>
    <s v="Furniture"/>
    <x v="1"/>
    <s v="Hon Pagoda Stacking Chairs"/>
    <n v="256.78399999999999"/>
    <n v="1"/>
    <n v="32.097999999999999"/>
    <x v="2"/>
    <x v="7"/>
  </r>
  <r>
    <x v="1621"/>
    <x v="816"/>
    <d v="2016-10-20T00:00:00"/>
    <x v="2"/>
    <s v="NR-18550"/>
    <s v="Nick Radford"/>
    <x v="0"/>
    <s v="United States"/>
    <x v="361"/>
    <x v="18"/>
    <x v="2"/>
    <s v="FUR-BO-10001337"/>
    <s v="Furniture"/>
    <x v="0"/>
    <s v="O'Sullivan Living Dimensions 2-Shelf Bookcases"/>
    <n v="120.98"/>
    <n v="1"/>
    <n v="12.098000000000001"/>
    <x v="0"/>
    <x v="1"/>
  </r>
  <r>
    <x v="1622"/>
    <x v="489"/>
    <d v="2014-12-15T00:00:00"/>
    <x v="1"/>
    <s v="DJ-13420"/>
    <s v="Denny Joy"/>
    <x v="1"/>
    <s v="United States"/>
    <x v="28"/>
    <x v="2"/>
    <x v="1"/>
    <s v="FUR-FU-10000397"/>
    <s v="Furniture"/>
    <x v="3"/>
    <s v="Luxo Economy Swing Arm Lamp"/>
    <n v="39.880000000000003"/>
    <n v="2"/>
    <n v="11.166399999999999"/>
    <x v="1"/>
    <x v="5"/>
  </r>
  <r>
    <x v="1622"/>
    <x v="489"/>
    <d v="2014-12-15T00:00:00"/>
    <x v="1"/>
    <s v="DJ-13420"/>
    <s v="Denny Joy"/>
    <x v="1"/>
    <s v="United States"/>
    <x v="28"/>
    <x v="2"/>
    <x v="1"/>
    <s v="FUR-FU-10000758"/>
    <s v="Furniture"/>
    <x v="3"/>
    <s v="DAX Natural Wood-Tone Poster Frame"/>
    <n v="79.44"/>
    <n v="3"/>
    <n v="28.598400000000002"/>
    <x v="1"/>
    <x v="5"/>
  </r>
  <r>
    <x v="1623"/>
    <x v="793"/>
    <d v="2015-08-20T00:00:00"/>
    <x v="1"/>
    <s v="JW-15955"/>
    <s v="Joni Wasserman"/>
    <x v="0"/>
    <s v="United States"/>
    <x v="3"/>
    <x v="3"/>
    <x v="2"/>
    <s v="FUR-BO-10000780"/>
    <s v="Furniture"/>
    <x v="0"/>
    <s v="O'Sullivan Plantations 2-Door Library in Landvery Oak"/>
    <n v="301.47000000000003"/>
    <n v="3"/>
    <n v="-204.99959999999999"/>
    <x v="4"/>
    <x v="10"/>
  </r>
  <r>
    <x v="1624"/>
    <x v="540"/>
    <d v="2017-10-14T00:00:00"/>
    <x v="2"/>
    <s v="MH-18025"/>
    <s v="Michelle Huthwaite"/>
    <x v="0"/>
    <s v="United States"/>
    <x v="120"/>
    <x v="35"/>
    <x v="0"/>
    <s v="FUR-TA-10003473"/>
    <s v="Furniture"/>
    <x v="2"/>
    <s v="Bretford Rectangular Conference Table Tops"/>
    <n v="1504.52"/>
    <n v="4"/>
    <n v="346.03960000000001"/>
    <x v="5"/>
    <x v="1"/>
  </r>
  <r>
    <x v="1625"/>
    <x v="227"/>
    <d v="2016-09-06T00:00:00"/>
    <x v="1"/>
    <s v="LR-16915"/>
    <s v="Lena Radford"/>
    <x v="0"/>
    <s v="United States"/>
    <x v="2"/>
    <x v="2"/>
    <x v="1"/>
    <s v="FUR-FU-10001889"/>
    <s v="Furniture"/>
    <x v="3"/>
    <s v="Ultra Door Pull Handle"/>
    <n v="94.68"/>
    <n v="9"/>
    <n v="31.244399999999999"/>
    <x v="4"/>
    <x v="4"/>
  </r>
  <r>
    <x v="1625"/>
    <x v="227"/>
    <d v="2016-09-06T00:00:00"/>
    <x v="1"/>
    <s v="LR-16915"/>
    <s v="Lena Radford"/>
    <x v="0"/>
    <s v="United States"/>
    <x v="2"/>
    <x v="2"/>
    <x v="1"/>
    <s v="FUR-TA-10001539"/>
    <s v="Furniture"/>
    <x v="2"/>
    <s v="Chromcraft Rectangular Conference Tables"/>
    <n v="568.72799999999995"/>
    <n v="3"/>
    <n v="28.436399999999999"/>
    <x v="4"/>
    <x v="4"/>
  </r>
  <r>
    <x v="1626"/>
    <x v="441"/>
    <d v="2017-02-14T00:00:00"/>
    <x v="2"/>
    <s v="MM-17260"/>
    <s v="Magdelene Morse"/>
    <x v="0"/>
    <s v="United States"/>
    <x v="29"/>
    <x v="15"/>
    <x v="2"/>
    <s v="FUR-FU-10003601"/>
    <s v="Furniture"/>
    <x v="3"/>
    <s v="Deflect-o RollaMat Studded, Beveled Mat for Medium Pile Carpeting"/>
    <n v="147.56800000000001"/>
    <n v="2"/>
    <n v="-3.6892"/>
    <x v="0"/>
    <x v="11"/>
  </r>
  <r>
    <x v="1627"/>
    <x v="855"/>
    <d v="2014-07-14T00:00:00"/>
    <x v="1"/>
    <s v="DS-13030"/>
    <s v="Darrin Sayre"/>
    <x v="2"/>
    <s v="United States"/>
    <x v="28"/>
    <x v="2"/>
    <x v="1"/>
    <s v="FUR-BO-10004218"/>
    <s v="Furniture"/>
    <x v="0"/>
    <s v="Bush Heritage Pine Collection 5-Shelf Bookcase, Albany Pine Finish, *Special Order"/>
    <n v="119.833"/>
    <n v="1"/>
    <n v="7.0490000000000004"/>
    <x v="2"/>
    <x v="3"/>
  </r>
  <r>
    <x v="1628"/>
    <x v="651"/>
    <d v="2014-02-15T00:00:00"/>
    <x v="0"/>
    <s v="GA-14725"/>
    <s v="Guy Armstrong"/>
    <x v="0"/>
    <s v="United States"/>
    <x v="11"/>
    <x v="23"/>
    <x v="3"/>
    <s v="FUR-CH-10001146"/>
    <s v="Furniture"/>
    <x v="1"/>
    <s v="Global Value Mid-Back Manager's Chair, Gray"/>
    <n v="60.89"/>
    <n v="1"/>
    <n v="15.2225"/>
    <x v="4"/>
    <x v="11"/>
  </r>
  <r>
    <x v="1628"/>
    <x v="651"/>
    <d v="2014-02-15T00:00:00"/>
    <x v="0"/>
    <s v="GA-14725"/>
    <s v="Guy Armstrong"/>
    <x v="0"/>
    <s v="United States"/>
    <x v="11"/>
    <x v="23"/>
    <x v="3"/>
    <s v="FUR-FU-10002298"/>
    <s v="Furniture"/>
    <x v="3"/>
    <s v="Rubbermaid ClusterMat Chairmats, Mat Size- 66&quot; x 60&quot;, Lip 20&quot; x 11&quot; -90 Degree Angle"/>
    <n v="332.94"/>
    <n v="3"/>
    <n v="53.270400000000002"/>
    <x v="4"/>
    <x v="11"/>
  </r>
  <r>
    <x v="1629"/>
    <x v="113"/>
    <d v="2017-09-02T00:00:00"/>
    <x v="3"/>
    <s v="SU-20665"/>
    <s v="Stephanie Ulpright"/>
    <x v="2"/>
    <s v="United States"/>
    <x v="15"/>
    <x v="13"/>
    <x v="1"/>
    <s v="FUR-CH-10003061"/>
    <s v="Furniture"/>
    <x v="1"/>
    <s v="Global Leather Task Chair, Black"/>
    <n v="215.976"/>
    <n v="3"/>
    <n v="-2.6997"/>
    <x v="7"/>
    <x v="4"/>
  </r>
  <r>
    <x v="1630"/>
    <x v="856"/>
    <d v="2015-10-13T00:00:00"/>
    <x v="1"/>
    <s v="FM-14380"/>
    <s v="Fred McMath"/>
    <x v="0"/>
    <s v="United States"/>
    <x v="25"/>
    <x v="17"/>
    <x v="3"/>
    <s v="FUR-CH-10000513"/>
    <s v="Furniture"/>
    <x v="1"/>
    <s v="High-Back Leather Manager's Chair"/>
    <n v="389.97"/>
    <n v="3"/>
    <n v="35.097299999999997"/>
    <x v="4"/>
    <x v="1"/>
  </r>
  <r>
    <x v="1631"/>
    <x v="857"/>
    <d v="2014-02-09T00:00:00"/>
    <x v="2"/>
    <s v="NM-18445"/>
    <s v="Nathan Mautz"/>
    <x v="2"/>
    <s v="United States"/>
    <x v="111"/>
    <x v="34"/>
    <x v="1"/>
    <s v="FUR-FU-10002111"/>
    <s v="Furniture"/>
    <x v="3"/>
    <s v="Master Caster Door Stop, Large Brown"/>
    <n v="14.56"/>
    <n v="2"/>
    <n v="5.5327999999999999"/>
    <x v="5"/>
    <x v="11"/>
  </r>
  <r>
    <x v="1632"/>
    <x v="4"/>
    <d v="2015-09-25T00:00:00"/>
    <x v="3"/>
    <s v="CS-11950"/>
    <s v="Carlos Soltero"/>
    <x v="0"/>
    <s v="United States"/>
    <x v="234"/>
    <x v="7"/>
    <x v="2"/>
    <s v="FUR-CH-10001545"/>
    <s v="Furniture"/>
    <x v="1"/>
    <s v="Hon Comfortask Task/Swivel Chairs"/>
    <n v="102.58199999999999"/>
    <n v="1"/>
    <n v="6.8388"/>
    <x v="7"/>
    <x v="4"/>
  </r>
  <r>
    <x v="1633"/>
    <x v="858"/>
    <d v="2016-05-17T00:00:00"/>
    <x v="1"/>
    <s v="HM-14860"/>
    <s v="Harry Marie"/>
    <x v="1"/>
    <s v="United States"/>
    <x v="13"/>
    <x v="7"/>
    <x v="2"/>
    <s v="FUR-FU-10000320"/>
    <s v="Furniture"/>
    <x v="3"/>
    <s v="OIC Stacking Trays"/>
    <n v="10.02"/>
    <n v="3"/>
    <n v="4.4088000000000003"/>
    <x v="2"/>
    <x v="7"/>
  </r>
  <r>
    <x v="1634"/>
    <x v="451"/>
    <d v="2017-12-05T00:00:00"/>
    <x v="1"/>
    <s v="SC-20305"/>
    <s v="Sean Christensen"/>
    <x v="0"/>
    <s v="United States"/>
    <x v="3"/>
    <x v="3"/>
    <x v="2"/>
    <s v="FUR-CH-10003379"/>
    <s v="Furniture"/>
    <x v="1"/>
    <s v="Global Commerce Series High-Back Swivel/Tilt Chairs"/>
    <n v="398.97199999999998"/>
    <n v="2"/>
    <n v="-28.498000000000001"/>
    <x v="4"/>
    <x v="5"/>
  </r>
  <r>
    <x v="1635"/>
    <x v="649"/>
    <d v="2016-09-24T00:00:00"/>
    <x v="1"/>
    <s v="HJ-14875"/>
    <s v="Heather Jas"/>
    <x v="2"/>
    <s v="United States"/>
    <x v="15"/>
    <x v="13"/>
    <x v="1"/>
    <s v="FUR-BO-10002853"/>
    <s v="Furniture"/>
    <x v="0"/>
    <s v="O'Sullivan 5-Shelf Heavy-Duty Bookcases"/>
    <n v="163.88"/>
    <n v="2"/>
    <n v="40.97"/>
    <x v="4"/>
    <x v="4"/>
  </r>
  <r>
    <x v="1636"/>
    <x v="356"/>
    <d v="2014-11-23T00:00:00"/>
    <x v="1"/>
    <s v="MK-17905"/>
    <s v="Michael Kennedy"/>
    <x v="1"/>
    <s v="United States"/>
    <x v="20"/>
    <x v="16"/>
    <x v="3"/>
    <s v="FUR-CH-10001482"/>
    <s v="Furniture"/>
    <x v="1"/>
    <s v="Office Star - Mesh Screen back chair with Vinyl seat"/>
    <n v="392.94"/>
    <n v="3"/>
    <n v="43.223399999999998"/>
    <x v="2"/>
    <x v="0"/>
  </r>
  <r>
    <x v="1637"/>
    <x v="32"/>
    <d v="2015-11-24T00:00:00"/>
    <x v="2"/>
    <s v="JH-15820"/>
    <s v="John Huston"/>
    <x v="0"/>
    <s v="United States"/>
    <x v="91"/>
    <x v="30"/>
    <x v="0"/>
    <s v="FUR-FU-10000087"/>
    <s v="Furniture"/>
    <x v="3"/>
    <s v="Executive Impressions 14&quot; Two-Color Numerals Wall Clock"/>
    <n v="18.175999999999998"/>
    <n v="1"/>
    <n v="4.7712000000000003"/>
    <x v="0"/>
    <x v="0"/>
  </r>
  <r>
    <x v="1638"/>
    <x v="744"/>
    <d v="2017-06-26T00:00:00"/>
    <x v="1"/>
    <s v="DB-13270"/>
    <s v="Deborah Brumfield"/>
    <x v="2"/>
    <s v="United States"/>
    <x v="144"/>
    <x v="5"/>
    <x v="3"/>
    <s v="FUR-TA-10000688"/>
    <s v="Furniture"/>
    <x v="2"/>
    <s v="Chromcraft Bull-Nose Wood Round Conference Table Top, Wood Base"/>
    <n v="457.48500000000001"/>
    <n v="3"/>
    <n v="-84.961500000000001"/>
    <x v="1"/>
    <x v="2"/>
  </r>
  <r>
    <x v="1639"/>
    <x v="147"/>
    <d v="2017-12-03T00:00:00"/>
    <x v="2"/>
    <s v="TB-21625"/>
    <s v="Trudy Brown"/>
    <x v="0"/>
    <s v="United States"/>
    <x v="3"/>
    <x v="3"/>
    <x v="2"/>
    <s v="FUR-CH-10003981"/>
    <s v="Furniture"/>
    <x v="1"/>
    <s v="Global Commerce Series Low-Back Swivel/Tilt Chairs"/>
    <n v="1079.316"/>
    <n v="6"/>
    <n v="-15.418799999999999"/>
    <x v="0"/>
    <x v="0"/>
  </r>
  <r>
    <x v="1640"/>
    <x v="15"/>
    <d v="2017-06-01T00:00:00"/>
    <x v="1"/>
    <s v="AM-10360"/>
    <s v="Alice McCarthy"/>
    <x v="1"/>
    <s v="United States"/>
    <x v="59"/>
    <x v="15"/>
    <x v="2"/>
    <s v="FUR-BO-10004709"/>
    <s v="Furniture"/>
    <x v="0"/>
    <s v="Bush Westfield Collection Bookcases, Medium Cherry Finish"/>
    <n v="115.96"/>
    <n v="4"/>
    <n v="-64.937600000000003"/>
    <x v="4"/>
    <x v="7"/>
  </r>
  <r>
    <x v="1641"/>
    <x v="8"/>
    <d v="2015-04-22T00:00:00"/>
    <x v="0"/>
    <s v="MP-17965"/>
    <s v="Michael Paige"/>
    <x v="1"/>
    <s v="United States"/>
    <x v="362"/>
    <x v="5"/>
    <x v="3"/>
    <s v="FUR-CH-10000225"/>
    <s v="Furniture"/>
    <x v="1"/>
    <s v="Global Geo Office Task Chair, Gray"/>
    <n v="56.686"/>
    <n v="1"/>
    <n v="-20.245000000000001"/>
    <x v="4"/>
    <x v="6"/>
  </r>
  <r>
    <x v="1642"/>
    <x v="96"/>
    <d v="2017-07-25T00:00:00"/>
    <x v="1"/>
    <s v="AR-10825"/>
    <s v="Anthony Rawles"/>
    <x v="1"/>
    <s v="United States"/>
    <x v="13"/>
    <x v="7"/>
    <x v="2"/>
    <s v="FUR-CH-10002780"/>
    <s v="Furniture"/>
    <x v="1"/>
    <s v="Office Star - Task Chair with Contemporary Loop Arms"/>
    <n v="163.76400000000001"/>
    <n v="2"/>
    <n v="25.474399999999999"/>
    <x v="2"/>
    <x v="3"/>
  </r>
  <r>
    <x v="1642"/>
    <x v="96"/>
    <d v="2017-07-25T00:00:00"/>
    <x v="1"/>
    <s v="AR-10825"/>
    <s v="Anthony Rawles"/>
    <x v="1"/>
    <s v="United States"/>
    <x v="13"/>
    <x v="7"/>
    <x v="2"/>
    <s v="FUR-FU-10000747"/>
    <s v="Furniture"/>
    <x v="3"/>
    <s v="Tenex B1-RE Series Chair Mats for Low Pile Carpets"/>
    <n v="183.92"/>
    <n v="4"/>
    <n v="31.266400000000001"/>
    <x v="2"/>
    <x v="3"/>
  </r>
  <r>
    <x v="1643"/>
    <x v="114"/>
    <d v="2016-11-08T00:00:00"/>
    <x v="1"/>
    <s v="SM-20005"/>
    <s v="Sally Matthias"/>
    <x v="0"/>
    <s v="United States"/>
    <x v="6"/>
    <x v="5"/>
    <x v="3"/>
    <s v="FUR-FU-10002445"/>
    <s v="Furniture"/>
    <x v="3"/>
    <s v="DAX Two-Tone Rosewood/Black Document Frame, Desktop, 5 x 7"/>
    <n v="11.375999999999999"/>
    <n v="3"/>
    <n v="-5.6879999999999997"/>
    <x v="4"/>
    <x v="0"/>
  </r>
  <r>
    <x v="1643"/>
    <x v="114"/>
    <d v="2016-11-08T00:00:00"/>
    <x v="1"/>
    <s v="SM-20005"/>
    <s v="Sally Matthias"/>
    <x v="0"/>
    <s v="United States"/>
    <x v="6"/>
    <x v="5"/>
    <x v="3"/>
    <s v="FUR-FU-10000723"/>
    <s v="Furniture"/>
    <x v="3"/>
    <s v="Deflect-o EconoMat Studded, No Bevel Mat for Low Pile Carpeting"/>
    <n v="66.111999999999995"/>
    <n v="4"/>
    <n v="-84.2928"/>
    <x v="4"/>
    <x v="0"/>
  </r>
  <r>
    <x v="1644"/>
    <x v="204"/>
    <d v="2017-09-29T00:00:00"/>
    <x v="1"/>
    <s v="DB-13660"/>
    <s v="Duane Benoit"/>
    <x v="0"/>
    <s v="United States"/>
    <x v="2"/>
    <x v="2"/>
    <x v="1"/>
    <s v="FUR-CH-10003973"/>
    <s v="Furniture"/>
    <x v="1"/>
    <s v="GuestStacker Chair with Chrome Finish Legs"/>
    <n v="594.81600000000003"/>
    <n v="2"/>
    <n v="59.4816"/>
    <x v="6"/>
    <x v="4"/>
  </r>
  <r>
    <x v="1645"/>
    <x v="87"/>
    <d v="2017-09-10T00:00:00"/>
    <x v="2"/>
    <s v="PF-19225"/>
    <s v="Phillip Flathmann"/>
    <x v="0"/>
    <s v="United States"/>
    <x v="71"/>
    <x v="13"/>
    <x v="1"/>
    <s v="FUR-FU-10004053"/>
    <s v="Furniture"/>
    <x v="3"/>
    <s v="DAX Two-Tone Silver Metal Document Frame"/>
    <n v="80.959999999999994"/>
    <n v="4"/>
    <n v="34.812800000000003"/>
    <x v="0"/>
    <x v="4"/>
  </r>
  <r>
    <x v="1646"/>
    <x v="806"/>
    <d v="2017-05-02T00:00:00"/>
    <x v="2"/>
    <s v="AG-10900"/>
    <s v="Arthur Gainer"/>
    <x v="0"/>
    <s v="United States"/>
    <x v="97"/>
    <x v="1"/>
    <x v="0"/>
    <s v="FUR-BO-10001798"/>
    <s v="Furniture"/>
    <x v="0"/>
    <s v="Bush Somerset Collection Bookcase"/>
    <n v="314.35199999999998"/>
    <n v="3"/>
    <n v="-15.717599999999999"/>
    <x v="5"/>
    <x v="7"/>
  </r>
  <r>
    <x v="1647"/>
    <x v="506"/>
    <d v="2017-02-20T00:00:00"/>
    <x v="2"/>
    <s v="CK-12325"/>
    <s v="Christine Kargatis"/>
    <x v="2"/>
    <s v="United States"/>
    <x v="8"/>
    <x v="15"/>
    <x v="2"/>
    <s v="FUR-TA-10001086"/>
    <s v="Furniture"/>
    <x v="2"/>
    <s v="SAFCO PlanMaster Boards, 60w x 37-1/2d, White Melamine"/>
    <n v="455.97"/>
    <n v="5"/>
    <n v="-106.393"/>
    <x v="0"/>
    <x v="11"/>
  </r>
  <r>
    <x v="1647"/>
    <x v="506"/>
    <d v="2017-02-20T00:00:00"/>
    <x v="2"/>
    <s v="CK-12325"/>
    <s v="Christine Kargatis"/>
    <x v="2"/>
    <s v="United States"/>
    <x v="8"/>
    <x v="15"/>
    <x v="2"/>
    <s v="FUR-FU-10004973"/>
    <s v="Furniture"/>
    <x v="3"/>
    <s v="Flat Face Poster Frame"/>
    <n v="30.143999999999998"/>
    <n v="2"/>
    <n v="8.2896000000000001"/>
    <x v="0"/>
    <x v="11"/>
  </r>
  <r>
    <x v="1647"/>
    <x v="506"/>
    <d v="2017-02-20T00:00:00"/>
    <x v="2"/>
    <s v="CK-12325"/>
    <s v="Christine Kargatis"/>
    <x v="2"/>
    <s v="United States"/>
    <x v="8"/>
    <x v="15"/>
    <x v="2"/>
    <s v="FUR-CH-10003981"/>
    <s v="Furniture"/>
    <x v="1"/>
    <s v="Global Commerce Series Low-Back Swivel/Tilt Chairs"/>
    <n v="899.43"/>
    <n v="5"/>
    <n v="-12.849"/>
    <x v="0"/>
    <x v="11"/>
  </r>
  <r>
    <x v="1648"/>
    <x v="286"/>
    <d v="2016-12-28T00:00:00"/>
    <x v="1"/>
    <s v="DN-13690"/>
    <s v="Duane Noonan"/>
    <x v="0"/>
    <s v="United States"/>
    <x v="363"/>
    <x v="2"/>
    <x v="1"/>
    <s v="FUR-FU-10000277"/>
    <s v="Furniture"/>
    <x v="3"/>
    <s v="Deflect-o DuraMat Antistatic Studded Beveled Mat for Medium Pile Carpeting"/>
    <n v="842.72"/>
    <n v="8"/>
    <n v="202.25280000000001"/>
    <x v="6"/>
    <x v="5"/>
  </r>
  <r>
    <x v="1648"/>
    <x v="286"/>
    <d v="2016-12-28T00:00:00"/>
    <x v="1"/>
    <s v="DN-13690"/>
    <s v="Duane Noonan"/>
    <x v="0"/>
    <s v="United States"/>
    <x v="363"/>
    <x v="2"/>
    <x v="1"/>
    <s v="FUR-FU-10001934"/>
    <s v="Furniture"/>
    <x v="3"/>
    <s v="Magnifier Swing Arm Lamp"/>
    <n v="41.96"/>
    <n v="2"/>
    <n v="10.909599999999999"/>
    <x v="6"/>
    <x v="5"/>
  </r>
  <r>
    <x v="1649"/>
    <x v="348"/>
    <d v="2016-09-27T00:00:00"/>
    <x v="1"/>
    <s v="DP-13105"/>
    <s v="Dave Poirier"/>
    <x v="1"/>
    <s v="United States"/>
    <x v="15"/>
    <x v="13"/>
    <x v="1"/>
    <s v="FUR-CH-10003396"/>
    <s v="Furniture"/>
    <x v="1"/>
    <s v="Global Deluxe Steno Chair"/>
    <n v="184.75200000000001"/>
    <n v="3"/>
    <n v="-20.784600000000001"/>
    <x v="4"/>
    <x v="4"/>
  </r>
  <r>
    <x v="1650"/>
    <x v="118"/>
    <d v="2017-09-26T00:00:00"/>
    <x v="2"/>
    <s v="RO-19780"/>
    <s v="Rose O'Brian"/>
    <x v="0"/>
    <s v="United States"/>
    <x v="9"/>
    <x v="8"/>
    <x v="3"/>
    <s v="FUR-CH-10003973"/>
    <s v="Furniture"/>
    <x v="1"/>
    <s v="GuestStacker Chair with Chrome Finish Legs"/>
    <n v="520.46400000000006"/>
    <n v="2"/>
    <n v="-14.8704"/>
    <x v="3"/>
    <x v="4"/>
  </r>
  <r>
    <x v="1651"/>
    <x v="859"/>
    <d v="2016-01-28T00:00:00"/>
    <x v="0"/>
    <s v="JD-15895"/>
    <s v="Jonathan Doherty"/>
    <x v="1"/>
    <s v="United States"/>
    <x v="13"/>
    <x v="7"/>
    <x v="2"/>
    <s v="FUR-TA-10001095"/>
    <s v="Furniture"/>
    <x v="2"/>
    <s v="Chromcraft Round Conference Tables"/>
    <n v="313.72199999999998"/>
    <n v="3"/>
    <n v="-99.345299999999995"/>
    <x v="0"/>
    <x v="8"/>
  </r>
  <r>
    <x v="1651"/>
    <x v="859"/>
    <d v="2016-01-28T00:00:00"/>
    <x v="0"/>
    <s v="JD-15895"/>
    <s v="Jonathan Doherty"/>
    <x v="1"/>
    <s v="United States"/>
    <x v="13"/>
    <x v="7"/>
    <x v="2"/>
    <s v="FUR-FU-10000747"/>
    <s v="Furniture"/>
    <x v="3"/>
    <s v="Tenex B1-RE Series Chair Mats for Low Pile Carpets"/>
    <n v="45.98"/>
    <n v="1"/>
    <n v="7.8166000000000002"/>
    <x v="0"/>
    <x v="8"/>
  </r>
  <r>
    <x v="1652"/>
    <x v="555"/>
    <d v="2017-03-25T00:00:00"/>
    <x v="1"/>
    <s v="PS-18970"/>
    <s v="Paul Stevenson"/>
    <x v="2"/>
    <s v="United States"/>
    <x v="15"/>
    <x v="13"/>
    <x v="1"/>
    <s v="FUR-FU-10002364"/>
    <s v="Furniture"/>
    <x v="3"/>
    <s v="Eldon Expressions Wood Desk Accessories, Oak"/>
    <n v="22.14"/>
    <n v="3"/>
    <n v="6.4206000000000003"/>
    <x v="4"/>
    <x v="9"/>
  </r>
  <r>
    <x v="1653"/>
    <x v="388"/>
    <d v="2017-11-09T00:00:00"/>
    <x v="0"/>
    <s v="KN-16390"/>
    <s v="Katherine Nockton"/>
    <x v="1"/>
    <s v="United States"/>
    <x v="218"/>
    <x v="32"/>
    <x v="2"/>
    <s v="FUR-CH-10000422"/>
    <s v="Furniture"/>
    <x v="1"/>
    <s v="Global Highback Leather Tilter in Burgundy"/>
    <n v="272.97000000000003"/>
    <n v="3"/>
    <n v="43.675199999999997"/>
    <x v="3"/>
    <x v="0"/>
  </r>
  <r>
    <x v="1654"/>
    <x v="860"/>
    <d v="2015-05-31T00:00:00"/>
    <x v="2"/>
    <s v="VP-21760"/>
    <s v="Victoria Pisteka"/>
    <x v="1"/>
    <s v="United States"/>
    <x v="29"/>
    <x v="15"/>
    <x v="2"/>
    <s v="FUR-FU-10002506"/>
    <s v="Furniture"/>
    <x v="3"/>
    <s v="Tensor &quot;Hersey Kiss&quot; Styled Floor Lamp"/>
    <n v="41.567999999999998"/>
    <n v="4"/>
    <n v="-4.1567999999999996"/>
    <x v="3"/>
    <x v="7"/>
  </r>
  <r>
    <x v="1654"/>
    <x v="860"/>
    <d v="2015-05-31T00:00:00"/>
    <x v="2"/>
    <s v="VP-21760"/>
    <s v="Victoria Pisteka"/>
    <x v="1"/>
    <s v="United States"/>
    <x v="29"/>
    <x v="15"/>
    <x v="2"/>
    <s v="FUR-CH-10000863"/>
    <s v="Furniture"/>
    <x v="1"/>
    <s v="Novimex Swivel Fabric Task Chair"/>
    <n v="317.05799999999999"/>
    <n v="3"/>
    <n v="-86.058599999999998"/>
    <x v="3"/>
    <x v="7"/>
  </r>
  <r>
    <x v="1655"/>
    <x v="520"/>
    <d v="2014-12-27T00:00:00"/>
    <x v="0"/>
    <s v="CC-12670"/>
    <s v="Craig Carreira"/>
    <x v="0"/>
    <s v="United States"/>
    <x v="26"/>
    <x v="1"/>
    <x v="0"/>
    <s v="FUR-CH-10004698"/>
    <s v="Furniture"/>
    <x v="1"/>
    <s v="Padded Folding Chairs, Black, 4/Carton"/>
    <n v="64.784000000000006"/>
    <n v="1"/>
    <n v="6.4783999999999997"/>
    <x v="4"/>
    <x v="5"/>
  </r>
  <r>
    <x v="1656"/>
    <x v="60"/>
    <d v="2017-08-31T00:00:00"/>
    <x v="1"/>
    <s v="SF-20200"/>
    <s v="Sarah Foster"/>
    <x v="0"/>
    <s v="United States"/>
    <x v="81"/>
    <x v="22"/>
    <x v="1"/>
    <s v="FUR-FU-10004973"/>
    <s v="Furniture"/>
    <x v="3"/>
    <s v="Flat Face Poster Frame"/>
    <n v="120.57599999999999"/>
    <n v="8"/>
    <n v="33.1584"/>
    <x v="4"/>
    <x v="10"/>
  </r>
  <r>
    <x v="1657"/>
    <x v="551"/>
    <d v="2015-10-25T00:00:00"/>
    <x v="3"/>
    <s v="DG-13300"/>
    <s v="Deirdre Greer"/>
    <x v="1"/>
    <s v="United States"/>
    <x v="22"/>
    <x v="12"/>
    <x v="1"/>
    <s v="FUR-CH-10000422"/>
    <s v="Furniture"/>
    <x v="1"/>
    <s v="Global Highback Leather Tilter in Burgundy"/>
    <n v="582.33600000000001"/>
    <n v="8"/>
    <n v="-29.116800000000001"/>
    <x v="7"/>
    <x v="1"/>
  </r>
  <r>
    <x v="1658"/>
    <x v="23"/>
    <d v="2014-09-23T00:00:00"/>
    <x v="2"/>
    <s v="MW-18220"/>
    <s v="Mitch Webber"/>
    <x v="0"/>
    <s v="United States"/>
    <x v="13"/>
    <x v="7"/>
    <x v="2"/>
    <s v="FUR-CH-10001394"/>
    <s v="Furniture"/>
    <x v="1"/>
    <s v="Global Leather Executive Chair"/>
    <n v="631.78200000000004"/>
    <n v="2"/>
    <n v="140.39599999999999"/>
    <x v="0"/>
    <x v="4"/>
  </r>
  <r>
    <x v="1658"/>
    <x v="23"/>
    <d v="2014-09-23T00:00:00"/>
    <x v="2"/>
    <s v="MW-18220"/>
    <s v="Mitch Webber"/>
    <x v="0"/>
    <s v="United States"/>
    <x v="13"/>
    <x v="7"/>
    <x v="2"/>
    <s v="FUR-BO-10002213"/>
    <s v="Furniture"/>
    <x v="0"/>
    <s v="DMI Eclipse Executive Suite Bookcases"/>
    <n v="801.56799999999998"/>
    <n v="2"/>
    <n v="-10.019600000000001"/>
    <x v="0"/>
    <x v="4"/>
  </r>
  <r>
    <x v="1659"/>
    <x v="861"/>
    <d v="2014-06-28T00:00:00"/>
    <x v="1"/>
    <s v="LP-17080"/>
    <s v="Liz Pelletier"/>
    <x v="0"/>
    <s v="United States"/>
    <x v="104"/>
    <x v="22"/>
    <x v="1"/>
    <s v="FUR-FU-10001731"/>
    <s v="Furniture"/>
    <x v="3"/>
    <s v="Acrylic Self-Standing Desk Frames"/>
    <n v="4.2720000000000002"/>
    <n v="2"/>
    <n v="0.96120000000000005"/>
    <x v="4"/>
    <x v="2"/>
  </r>
  <r>
    <x v="1660"/>
    <x v="577"/>
    <d v="2016-08-17T00:00:00"/>
    <x v="0"/>
    <s v="NP-18700"/>
    <s v="Nora Preis"/>
    <x v="0"/>
    <s v="United States"/>
    <x v="13"/>
    <x v="7"/>
    <x v="2"/>
    <s v="FUR-TA-10001095"/>
    <s v="Furniture"/>
    <x v="2"/>
    <s v="Chromcraft Round Conference Tables"/>
    <n v="209.148"/>
    <n v="2"/>
    <n v="-66.230199999999996"/>
    <x v="2"/>
    <x v="10"/>
  </r>
  <r>
    <x v="1661"/>
    <x v="320"/>
    <d v="2017-09-24T00:00:00"/>
    <x v="0"/>
    <s v="LC-17140"/>
    <s v="Logan Currie"/>
    <x v="0"/>
    <s v="United States"/>
    <x v="13"/>
    <x v="7"/>
    <x v="2"/>
    <s v="FUR-FU-10004864"/>
    <s v="Furniture"/>
    <x v="3"/>
    <s v="Eldon 500 Class Desk Accessories"/>
    <n v="12.07"/>
    <n v="1"/>
    <n v="3.9830999999999999"/>
    <x v="3"/>
    <x v="4"/>
  </r>
  <r>
    <x v="1662"/>
    <x v="247"/>
    <d v="2017-12-13T00:00:00"/>
    <x v="2"/>
    <s v="WB-21850"/>
    <s v="William Brown"/>
    <x v="0"/>
    <s v="United States"/>
    <x v="3"/>
    <x v="3"/>
    <x v="2"/>
    <s v="FUR-FU-10001475"/>
    <s v="Furniture"/>
    <x v="3"/>
    <s v="Contract Clock, 14&quot;, Brown"/>
    <n v="87.92"/>
    <n v="5"/>
    <n v="15.385999999999999"/>
    <x v="0"/>
    <x v="5"/>
  </r>
  <r>
    <x v="1663"/>
    <x v="369"/>
    <d v="2015-01-29T00:00:00"/>
    <x v="2"/>
    <s v="SC-20305"/>
    <s v="Sean Christensen"/>
    <x v="0"/>
    <s v="United States"/>
    <x v="2"/>
    <x v="2"/>
    <x v="1"/>
    <s v="FUR-CH-10002024"/>
    <s v="Furniture"/>
    <x v="1"/>
    <s v="HON 5400 Series Task Chairs for Big and Tall"/>
    <n v="2803.92"/>
    <n v="5"/>
    <n v="0"/>
    <x v="3"/>
    <x v="8"/>
  </r>
  <r>
    <x v="1664"/>
    <x v="862"/>
    <d v="2015-10-22T00:00:00"/>
    <x v="1"/>
    <s v="JC-15775"/>
    <s v="John Castell"/>
    <x v="0"/>
    <s v="United States"/>
    <x v="15"/>
    <x v="13"/>
    <x v="1"/>
    <s v="FUR-FU-10002505"/>
    <s v="Furniture"/>
    <x v="3"/>
    <s v="Eldon 100 Class Desk Accessories"/>
    <n v="10.11"/>
    <n v="3"/>
    <n v="3.2351999999999999"/>
    <x v="4"/>
    <x v="1"/>
  </r>
  <r>
    <x v="1665"/>
    <x v="639"/>
    <d v="2014-09-17T00:00:00"/>
    <x v="0"/>
    <s v="LW-17215"/>
    <s v="Luke Weiss"/>
    <x v="0"/>
    <s v="United States"/>
    <x v="13"/>
    <x v="7"/>
    <x v="2"/>
    <s v="FUR-CH-10002024"/>
    <s v="Furniture"/>
    <x v="1"/>
    <s v="HON 5400 Series Task Chairs for Big and Tall"/>
    <n v="3785.2919999999999"/>
    <n v="6"/>
    <n v="420.58800000000002"/>
    <x v="2"/>
    <x v="4"/>
  </r>
  <r>
    <x v="1666"/>
    <x v="863"/>
    <d v="2014-12-01T00:00:00"/>
    <x v="1"/>
    <s v="JO-15145"/>
    <s v="Jack O'Briant"/>
    <x v="1"/>
    <s v="United States"/>
    <x v="252"/>
    <x v="7"/>
    <x v="2"/>
    <s v="FUR-FU-10003268"/>
    <s v="Furniture"/>
    <x v="3"/>
    <s v="Eldon Radial Chair Mat for Low to Medium Pile Carpets"/>
    <n v="199.9"/>
    <n v="5"/>
    <n v="39.979999999999997"/>
    <x v="4"/>
    <x v="0"/>
  </r>
  <r>
    <x v="1667"/>
    <x v="89"/>
    <d v="2014-05-16T00:00:00"/>
    <x v="1"/>
    <s v="VW-21775"/>
    <s v="Victoria Wilson"/>
    <x v="1"/>
    <s v="United States"/>
    <x v="156"/>
    <x v="5"/>
    <x v="3"/>
    <s v="FUR-CH-10000015"/>
    <s v="Furniture"/>
    <x v="1"/>
    <s v="Hon Multipurpose Stacking Arm Chairs"/>
    <n v="1212.96"/>
    <n v="8"/>
    <n v="-69.311999999999998"/>
    <x v="2"/>
    <x v="7"/>
  </r>
  <r>
    <x v="1668"/>
    <x v="797"/>
    <d v="2015-09-01T00:00:00"/>
    <x v="1"/>
    <s v="BP-11185"/>
    <s v="Ben Peterman"/>
    <x v="1"/>
    <s v="United States"/>
    <x v="144"/>
    <x v="5"/>
    <x v="3"/>
    <s v="FUR-TA-10004607"/>
    <s v="Furniture"/>
    <x v="2"/>
    <s v="Hon 2111 Invitation Series Straight Table"/>
    <n v="103.48099999999999"/>
    <n v="1"/>
    <n v="-16.261299999999999"/>
    <x v="4"/>
    <x v="10"/>
  </r>
  <r>
    <x v="1669"/>
    <x v="706"/>
    <d v="2017-06-03T00:00:00"/>
    <x v="1"/>
    <s v="DN-13690"/>
    <s v="Duane Noonan"/>
    <x v="0"/>
    <s v="United States"/>
    <x v="169"/>
    <x v="37"/>
    <x v="3"/>
    <s v="FUR-FU-10003664"/>
    <s v="Furniture"/>
    <x v="3"/>
    <s v="Electrix Architect's Clamp-On Swing Arm Lamp, Black"/>
    <n v="477.3"/>
    <n v="5"/>
    <n v="138.417"/>
    <x v="1"/>
    <x v="7"/>
  </r>
  <r>
    <x v="1670"/>
    <x v="608"/>
    <d v="2017-11-30T00:00:00"/>
    <x v="0"/>
    <s v="BS-11590"/>
    <s v="Brendan Sweed"/>
    <x v="1"/>
    <s v="United States"/>
    <x v="74"/>
    <x v="0"/>
    <x v="0"/>
    <s v="FUR-CH-10001854"/>
    <s v="Furniture"/>
    <x v="1"/>
    <s v="Office Star - Professional Matrix Back Chair with 2-to-1 Synchro Tilt and Mesh Fabric Seat"/>
    <n v="701.96"/>
    <n v="2"/>
    <n v="168.47040000000001"/>
    <x v="2"/>
    <x v="0"/>
  </r>
  <r>
    <x v="1671"/>
    <x v="185"/>
    <d v="2016-11-23T00:00:00"/>
    <x v="1"/>
    <s v="JM-15265"/>
    <s v="Janet Molinari"/>
    <x v="1"/>
    <s v="United States"/>
    <x v="15"/>
    <x v="13"/>
    <x v="1"/>
    <s v="FUR-FU-10000448"/>
    <s v="Furniture"/>
    <x v="3"/>
    <s v="Tenex Chairmats For Use With Carpeted Floors"/>
    <n v="31.96"/>
    <n v="2"/>
    <n v="1.5980000000000001"/>
    <x v="4"/>
    <x v="0"/>
  </r>
  <r>
    <x v="1672"/>
    <x v="864"/>
    <d v="2017-11-10T00:00:00"/>
    <x v="0"/>
    <s v="CD-12280"/>
    <s v="Christina DeMoss"/>
    <x v="0"/>
    <s v="United States"/>
    <x v="13"/>
    <x v="7"/>
    <x v="2"/>
    <s v="FUR-TA-10003469"/>
    <s v="Furniture"/>
    <x v="2"/>
    <s v="Balt Split Level Computer Training Table"/>
    <n v="166.5"/>
    <n v="2"/>
    <n v="-66.599999999999994"/>
    <x v="2"/>
    <x v="0"/>
  </r>
  <r>
    <x v="1672"/>
    <x v="864"/>
    <d v="2017-11-10T00:00:00"/>
    <x v="0"/>
    <s v="CD-12280"/>
    <s v="Christina DeMoss"/>
    <x v="0"/>
    <s v="United States"/>
    <x v="13"/>
    <x v="7"/>
    <x v="2"/>
    <s v="FUR-CH-10004875"/>
    <s v="Furniture"/>
    <x v="1"/>
    <s v="Harbour Creations 67200 Series Stacking Chairs"/>
    <n v="128.124"/>
    <n v="2"/>
    <n v="24.2012"/>
    <x v="2"/>
    <x v="0"/>
  </r>
  <r>
    <x v="1672"/>
    <x v="864"/>
    <d v="2017-11-10T00:00:00"/>
    <x v="0"/>
    <s v="CD-12280"/>
    <s v="Christina DeMoss"/>
    <x v="0"/>
    <s v="United States"/>
    <x v="13"/>
    <x v="7"/>
    <x v="2"/>
    <s v="FUR-FU-10004245"/>
    <s v="Furniture"/>
    <x v="3"/>
    <s v="Career Cubicle Clock, 8 1/4&quot;, Black"/>
    <n v="101.4"/>
    <n v="5"/>
    <n v="38.531999999999996"/>
    <x v="2"/>
    <x v="0"/>
  </r>
  <r>
    <x v="1673"/>
    <x v="151"/>
    <d v="2015-06-05T00:00:00"/>
    <x v="0"/>
    <s v="JM-15265"/>
    <s v="Janet Molinari"/>
    <x v="1"/>
    <s v="United States"/>
    <x v="9"/>
    <x v="8"/>
    <x v="3"/>
    <s v="FUR-FU-10002703"/>
    <s v="Furniture"/>
    <x v="3"/>
    <s v="Tenex Traditional Chairmats for Hard Floors, Average Lip, 36&quot; x 48&quot;"/>
    <n v="51.56"/>
    <n v="2"/>
    <n v="-61.872"/>
    <x v="2"/>
    <x v="7"/>
  </r>
  <r>
    <x v="1674"/>
    <x v="674"/>
    <d v="2016-12-04T00:00:00"/>
    <x v="0"/>
    <s v="MY-18295"/>
    <s v="Muhammed Yedwab"/>
    <x v="1"/>
    <s v="United States"/>
    <x v="6"/>
    <x v="5"/>
    <x v="3"/>
    <s v="FUR-BO-10003893"/>
    <s v="Furniture"/>
    <x v="0"/>
    <s v="Sauder Camden County Collection Library"/>
    <n v="781.86400000000003"/>
    <n v="10"/>
    <n v="-137.976"/>
    <x v="3"/>
    <x v="5"/>
  </r>
  <r>
    <x v="1675"/>
    <x v="176"/>
    <d v="2017-10-12T00:00:00"/>
    <x v="3"/>
    <s v="NF-18385"/>
    <s v="Natalie Fritzler"/>
    <x v="0"/>
    <s v="United States"/>
    <x v="167"/>
    <x v="47"/>
    <x v="2"/>
    <s v="FUR-TA-10001932"/>
    <s v="Furniture"/>
    <x v="2"/>
    <s v="Chromcraft 48&quot; x 96&quot; Racetrack Double Pedestal Table"/>
    <n v="673.34400000000005"/>
    <n v="3"/>
    <n v="-76.953599999999994"/>
    <x v="7"/>
    <x v="1"/>
  </r>
  <r>
    <x v="1676"/>
    <x v="865"/>
    <d v="2016-01-08T00:00:00"/>
    <x v="1"/>
    <s v="BO-11350"/>
    <s v="Bill Overfelt"/>
    <x v="1"/>
    <s v="United States"/>
    <x v="364"/>
    <x v="37"/>
    <x v="3"/>
    <s v="FUR-TA-10000617"/>
    <s v="Furniture"/>
    <x v="2"/>
    <s v="Hon Practical Foundations 30 x 60 Training Table, Light Gray/Charcoal"/>
    <n v="1592.85"/>
    <n v="7"/>
    <n v="350.42700000000002"/>
    <x v="2"/>
    <x v="8"/>
  </r>
  <r>
    <x v="1677"/>
    <x v="205"/>
    <d v="2016-05-30T00:00:00"/>
    <x v="1"/>
    <s v="CM-12235"/>
    <s v="Chris McAfee"/>
    <x v="0"/>
    <s v="United States"/>
    <x v="79"/>
    <x v="16"/>
    <x v="3"/>
    <s v="FUR-FU-10002088"/>
    <s v="Furniture"/>
    <x v="3"/>
    <s v="Nu-Dell Float Frame 11 x 14 1/2"/>
    <n v="26.94"/>
    <n v="3"/>
    <n v="11.3148"/>
    <x v="4"/>
    <x v="7"/>
  </r>
  <r>
    <x v="1678"/>
    <x v="141"/>
    <d v="2015-11-24T00:00:00"/>
    <x v="1"/>
    <s v="KW-16570"/>
    <s v="Kelly Williams"/>
    <x v="0"/>
    <s v="United States"/>
    <x v="28"/>
    <x v="2"/>
    <x v="1"/>
    <s v="FUR-FU-10001546"/>
    <s v="Furniture"/>
    <x v="3"/>
    <s v="Dana Swing-Arm Lamps"/>
    <n v="32.04"/>
    <n v="3"/>
    <n v="8.01"/>
    <x v="4"/>
    <x v="0"/>
  </r>
  <r>
    <x v="1679"/>
    <x v="703"/>
    <d v="2017-06-03T00:00:00"/>
    <x v="0"/>
    <s v="KT-16480"/>
    <s v="Kean Thornton"/>
    <x v="0"/>
    <s v="United States"/>
    <x v="144"/>
    <x v="5"/>
    <x v="3"/>
    <s v="FUR-BO-10001811"/>
    <s v="Furniture"/>
    <x v="0"/>
    <s v="Atlantic Metals Mobile 5-Shelf Bookcases, Custom Colors"/>
    <n v="204.66640000000001"/>
    <n v="1"/>
    <n v="-6.0195999999999996"/>
    <x v="4"/>
    <x v="7"/>
  </r>
  <r>
    <x v="1680"/>
    <x v="446"/>
    <d v="2017-12-06T00:00:00"/>
    <x v="2"/>
    <s v="PB-18805"/>
    <s v="Patrick Bzostek"/>
    <x v="2"/>
    <s v="United States"/>
    <x v="15"/>
    <x v="13"/>
    <x v="1"/>
    <s v="FUR-FU-10003268"/>
    <s v="Furniture"/>
    <x v="3"/>
    <s v="Eldon Radial Chair Mat for Low to Medium Pile Carpets"/>
    <n v="199.9"/>
    <n v="5"/>
    <n v="39.979999999999997"/>
    <x v="5"/>
    <x v="5"/>
  </r>
  <r>
    <x v="1681"/>
    <x v="78"/>
    <d v="2016-10-31T00:00:00"/>
    <x v="1"/>
    <s v="BW-11200"/>
    <s v="Ben Wallace"/>
    <x v="0"/>
    <s v="United States"/>
    <x v="13"/>
    <x v="7"/>
    <x v="2"/>
    <s v="FUR-CH-10000553"/>
    <s v="Furniture"/>
    <x v="1"/>
    <s v="Metal Folding Chairs, Beige, 4/Carton"/>
    <n v="427.64400000000001"/>
    <n v="14"/>
    <n v="80.777199999999993"/>
    <x v="4"/>
    <x v="1"/>
  </r>
  <r>
    <x v="1682"/>
    <x v="235"/>
    <d v="2017-06-14T00:00:00"/>
    <x v="0"/>
    <s v="TS-21610"/>
    <s v="Troy Staebel"/>
    <x v="0"/>
    <s v="United States"/>
    <x v="9"/>
    <x v="8"/>
    <x v="3"/>
    <s v="FUR-FU-10002364"/>
    <s v="Furniture"/>
    <x v="3"/>
    <s v="Eldon Expressions Wood Desk Accessories, Oak"/>
    <n v="8.8559999999999999"/>
    <n v="3"/>
    <n v="-6.8634000000000004"/>
    <x v="3"/>
    <x v="2"/>
  </r>
  <r>
    <x v="1683"/>
    <x v="228"/>
    <d v="2016-09-27T00:00:00"/>
    <x v="2"/>
    <s v="AS-10045"/>
    <s v="Aaron Smayling"/>
    <x v="1"/>
    <s v="United States"/>
    <x v="28"/>
    <x v="2"/>
    <x v="1"/>
    <s v="FUR-BO-10002613"/>
    <s v="Furniture"/>
    <x v="0"/>
    <s v="Atlantic Metals Mobile 4-Shelf Bookcases, Custom Colors"/>
    <n v="477.666"/>
    <n v="2"/>
    <n v="84.293999999999997"/>
    <x v="3"/>
    <x v="4"/>
  </r>
  <r>
    <x v="1684"/>
    <x v="866"/>
    <d v="2015-05-16T00:00:00"/>
    <x v="0"/>
    <s v="PS-18970"/>
    <s v="Paul Stevenson"/>
    <x v="2"/>
    <s v="United States"/>
    <x v="43"/>
    <x v="22"/>
    <x v="1"/>
    <s v="FUR-CH-10004540"/>
    <s v="Furniture"/>
    <x v="1"/>
    <s v="Global Chrome Stack Chair"/>
    <n v="191.96799999999999"/>
    <n v="7"/>
    <n v="16.7972"/>
    <x v="2"/>
    <x v="7"/>
  </r>
  <r>
    <x v="1685"/>
    <x v="867"/>
    <d v="2015-08-10T00:00:00"/>
    <x v="1"/>
    <s v="RP-19270"/>
    <s v="Rachel Payne"/>
    <x v="1"/>
    <s v="United States"/>
    <x v="6"/>
    <x v="5"/>
    <x v="3"/>
    <s v="FUR-BO-10003965"/>
    <s v="Furniture"/>
    <x v="0"/>
    <s v="O'Sullivan Manor Hill 2-Door Library in Brianna Oak"/>
    <n v="369.19920000000002"/>
    <n v="3"/>
    <n v="-114.01739999999999"/>
    <x v="4"/>
    <x v="10"/>
  </r>
  <r>
    <x v="1686"/>
    <x v="710"/>
    <d v="2016-09-27T00:00:00"/>
    <x v="1"/>
    <s v="SM-20950"/>
    <s v="Suzanne McNair"/>
    <x v="1"/>
    <s v="United States"/>
    <x v="131"/>
    <x v="12"/>
    <x v="1"/>
    <s v="FUR-FU-10000246"/>
    <s v="Furniture"/>
    <x v="3"/>
    <s v="Aluminum Document Frame"/>
    <n v="68.432000000000002"/>
    <n v="7"/>
    <n v="8.5540000000000003"/>
    <x v="2"/>
    <x v="4"/>
  </r>
  <r>
    <x v="1687"/>
    <x v="44"/>
    <d v="2015-12-02T00:00:00"/>
    <x v="1"/>
    <s v="EB-14110"/>
    <s v="Eugene Barchas"/>
    <x v="0"/>
    <s v="United States"/>
    <x v="29"/>
    <x v="15"/>
    <x v="2"/>
    <s v="FUR-FU-10003799"/>
    <s v="Furniture"/>
    <x v="3"/>
    <s v="Seth Thomas 13 1/2&quot; Wall Clock"/>
    <n v="71.12"/>
    <n v="5"/>
    <n v="9.7789999999999999"/>
    <x v="4"/>
    <x v="0"/>
  </r>
  <r>
    <x v="1688"/>
    <x v="868"/>
    <d v="2014-10-19T00:00:00"/>
    <x v="0"/>
    <s v="EB-14170"/>
    <s v="Evan Bailliet"/>
    <x v="0"/>
    <s v="United States"/>
    <x v="6"/>
    <x v="5"/>
    <x v="3"/>
    <s v="FUR-FU-10004586"/>
    <s v="Furniture"/>
    <x v="3"/>
    <s v="G.E. Longer-Life Indoor Recessed Floodlight Bulbs"/>
    <n v="5.3120000000000003"/>
    <n v="2"/>
    <n v="-1.5935999999999999"/>
    <x v="3"/>
    <x v="1"/>
  </r>
  <r>
    <x v="1689"/>
    <x v="869"/>
    <d v="2016-05-05T00:00:00"/>
    <x v="2"/>
    <s v="SM-20905"/>
    <s v="Susan MacKendrick"/>
    <x v="0"/>
    <s v="United States"/>
    <x v="19"/>
    <x v="15"/>
    <x v="2"/>
    <s v="FUR-FU-10001876"/>
    <s v="Furniture"/>
    <x v="3"/>
    <s v="Computer Room Manger, 14&quot;"/>
    <n v="51.968000000000004"/>
    <n v="2"/>
    <n v="10.393599999999999"/>
    <x v="3"/>
    <x v="7"/>
  </r>
  <r>
    <x v="1690"/>
    <x v="870"/>
    <d v="2014-03-31T00:00:00"/>
    <x v="3"/>
    <s v="TG-21640"/>
    <s v="Trudy Glocke"/>
    <x v="0"/>
    <s v="United States"/>
    <x v="26"/>
    <x v="1"/>
    <x v="0"/>
    <s v="FUR-CH-10002965"/>
    <s v="Furniture"/>
    <x v="1"/>
    <s v="Global Leather Highback Executive Chair with Pneumatic Height Adjustment, Black"/>
    <n v="1125.4880000000001"/>
    <n v="7"/>
    <n v="98.480199999999996"/>
    <x v="7"/>
    <x v="9"/>
  </r>
  <r>
    <x v="1691"/>
    <x v="871"/>
    <d v="2015-08-13T00:00:00"/>
    <x v="3"/>
    <s v="SF-20065"/>
    <s v="Sandra Flanagan"/>
    <x v="0"/>
    <s v="United States"/>
    <x v="135"/>
    <x v="2"/>
    <x v="1"/>
    <s v="FUR-FU-10001889"/>
    <s v="Furniture"/>
    <x v="3"/>
    <s v="Ultra Door Pull Handle"/>
    <n v="31.56"/>
    <n v="3"/>
    <n v="10.4148"/>
    <x v="7"/>
    <x v="10"/>
  </r>
  <r>
    <x v="1692"/>
    <x v="753"/>
    <d v="2015-05-28T00:00:00"/>
    <x v="0"/>
    <s v="PS-18760"/>
    <s v="Pamela Stobb"/>
    <x v="0"/>
    <s v="United States"/>
    <x v="21"/>
    <x v="5"/>
    <x v="3"/>
    <s v="FUR-CH-10000863"/>
    <s v="Furniture"/>
    <x v="1"/>
    <s v="Novimex Swivel Fabric Task Chair"/>
    <n v="105.68600000000001"/>
    <n v="1"/>
    <n v="-28.686199999999999"/>
    <x v="3"/>
    <x v="7"/>
  </r>
  <r>
    <x v="1692"/>
    <x v="753"/>
    <d v="2015-05-28T00:00:00"/>
    <x v="0"/>
    <s v="PS-18760"/>
    <s v="Pamela Stobb"/>
    <x v="0"/>
    <s v="United States"/>
    <x v="21"/>
    <x v="5"/>
    <x v="3"/>
    <s v="FUR-CH-10004754"/>
    <s v="Furniture"/>
    <x v="1"/>
    <s v="Global Stack Chair with Arms, Black"/>
    <n v="104.93"/>
    <n v="5"/>
    <n v="-4.4969999999999999"/>
    <x v="3"/>
    <x v="7"/>
  </r>
  <r>
    <x v="1693"/>
    <x v="732"/>
    <d v="2017-09-16T00:00:00"/>
    <x v="2"/>
    <s v="RB-19705"/>
    <s v="Roger Barcio"/>
    <x v="2"/>
    <s v="United States"/>
    <x v="13"/>
    <x v="7"/>
    <x v="2"/>
    <s v="FUR-CH-10003298"/>
    <s v="Furniture"/>
    <x v="1"/>
    <s v="Office Star - Contemporary Task Swivel chair with Loop Arms, Charcoal"/>
    <n v="589.41"/>
    <n v="5"/>
    <n v="-6.5490000000000004"/>
    <x v="3"/>
    <x v="4"/>
  </r>
  <r>
    <x v="1694"/>
    <x v="542"/>
    <d v="2017-06-27T00:00:00"/>
    <x v="0"/>
    <s v="SB-20185"/>
    <s v="Sarah Brown"/>
    <x v="0"/>
    <s v="United States"/>
    <x v="13"/>
    <x v="7"/>
    <x v="2"/>
    <s v="FUR-BO-10002213"/>
    <s v="Furniture"/>
    <x v="0"/>
    <s v="DMI Eclipse Executive Suite Bookcases"/>
    <n v="400.78399999999999"/>
    <n v="1"/>
    <n v="-5.0098000000000003"/>
    <x v="3"/>
    <x v="2"/>
  </r>
  <r>
    <x v="1695"/>
    <x v="830"/>
    <d v="2016-08-01T00:00:00"/>
    <x v="1"/>
    <s v="BF-11005"/>
    <s v="Barry Franz"/>
    <x v="2"/>
    <s v="United States"/>
    <x v="102"/>
    <x v="5"/>
    <x v="3"/>
    <s v="FUR-FU-10003691"/>
    <s v="Furniture"/>
    <x v="3"/>
    <s v="Eldon Image Series Desk Accessories, Ebony"/>
    <n v="24.7"/>
    <n v="5"/>
    <n v="-9.8800000000000008"/>
    <x v="4"/>
    <x v="3"/>
  </r>
  <r>
    <x v="1695"/>
    <x v="830"/>
    <d v="2016-08-01T00:00:00"/>
    <x v="1"/>
    <s v="BF-11005"/>
    <s v="Barry Franz"/>
    <x v="2"/>
    <s v="United States"/>
    <x v="102"/>
    <x v="5"/>
    <x v="3"/>
    <s v="FUR-FU-10003806"/>
    <s v="Furniture"/>
    <x v="3"/>
    <s v="Tenex Chairmat w/ Average Lip, 45&quot; x 53&quot;"/>
    <n v="302.72000000000003"/>
    <n v="5"/>
    <n v="-378.4"/>
    <x v="4"/>
    <x v="3"/>
  </r>
  <r>
    <x v="1696"/>
    <x v="208"/>
    <d v="2015-09-23T00:00:00"/>
    <x v="1"/>
    <s v="FC-14245"/>
    <s v="Frank Carlisle"/>
    <x v="2"/>
    <s v="United States"/>
    <x v="155"/>
    <x v="2"/>
    <x v="1"/>
    <s v="FUR-FU-10003464"/>
    <s v="Furniture"/>
    <x v="3"/>
    <s v="Seth Thomas 8 1/2&quot; Cubicle Clock"/>
    <n v="60.84"/>
    <n v="3"/>
    <n v="19.468800000000002"/>
    <x v="4"/>
    <x v="4"/>
  </r>
  <r>
    <x v="1697"/>
    <x v="9"/>
    <d v="2016-06-23T00:00:00"/>
    <x v="1"/>
    <s v="DM-13345"/>
    <s v="Denise Monton"/>
    <x v="1"/>
    <s v="United States"/>
    <x v="77"/>
    <x v="7"/>
    <x v="2"/>
    <s v="FUR-TA-10003715"/>
    <s v="Furniture"/>
    <x v="2"/>
    <s v="Hon 2111 Invitation Series Corner Table"/>
    <n v="376.86599999999999"/>
    <n v="3"/>
    <n v="-213.5574"/>
    <x v="6"/>
    <x v="2"/>
  </r>
  <r>
    <x v="1698"/>
    <x v="872"/>
    <d v="2016-05-19T00:00:00"/>
    <x v="0"/>
    <s v="SC-20095"/>
    <s v="Sanjit Chand"/>
    <x v="0"/>
    <s v="United States"/>
    <x v="2"/>
    <x v="2"/>
    <x v="1"/>
    <s v="FUR-FU-10002116"/>
    <s v="Furniture"/>
    <x v="3"/>
    <s v="Tenex Carpeted, Granite-Look or Clear Contemporary Contour Shape Chair Mats"/>
    <n v="282.83999999999997"/>
    <n v="4"/>
    <n v="19.7988"/>
    <x v="0"/>
    <x v="7"/>
  </r>
  <r>
    <x v="1699"/>
    <x v="656"/>
    <d v="2017-06-30T00:00:00"/>
    <x v="2"/>
    <s v="ME-17725"/>
    <s v="Max Engle"/>
    <x v="0"/>
    <s v="United States"/>
    <x v="144"/>
    <x v="5"/>
    <x v="3"/>
    <s v="FUR-TA-10002855"/>
    <s v="Furniture"/>
    <x v="2"/>
    <s v="Bevis Round Conference Table Top &amp; Single Column Base"/>
    <n v="307.31400000000002"/>
    <n v="3"/>
    <n v="-39.511800000000001"/>
    <x v="5"/>
    <x v="2"/>
  </r>
  <r>
    <x v="1699"/>
    <x v="656"/>
    <d v="2017-06-30T00:00:00"/>
    <x v="2"/>
    <s v="ME-17725"/>
    <s v="Max Engle"/>
    <x v="0"/>
    <s v="United States"/>
    <x v="144"/>
    <x v="5"/>
    <x v="3"/>
    <s v="FUR-BO-10000780"/>
    <s v="Furniture"/>
    <x v="0"/>
    <s v="O'Sullivan Plantations 2-Door Library in Landvery Oak"/>
    <n v="409.99919999999997"/>
    <n v="3"/>
    <n v="-96.470399999999998"/>
    <x v="5"/>
    <x v="2"/>
  </r>
  <r>
    <x v="1700"/>
    <x v="873"/>
    <d v="2014-10-17T00:00:00"/>
    <x v="2"/>
    <s v="TC-21295"/>
    <s v="Toby Carlisle"/>
    <x v="0"/>
    <s v="United States"/>
    <x v="114"/>
    <x v="20"/>
    <x v="2"/>
    <s v="FUR-CH-10000749"/>
    <s v="Furniture"/>
    <x v="1"/>
    <s v="Office Star - Ergonomic Mid Back Chair with 2-Way Adjustable Arms"/>
    <n v="1628.82"/>
    <n v="9"/>
    <n v="260.6112"/>
    <x v="0"/>
    <x v="1"/>
  </r>
  <r>
    <x v="1701"/>
    <x v="356"/>
    <d v="2014-11-25T00:00:00"/>
    <x v="1"/>
    <s v="MH-17785"/>
    <s v="Maya Herman"/>
    <x v="1"/>
    <s v="United States"/>
    <x v="15"/>
    <x v="13"/>
    <x v="1"/>
    <s v="FUR-FU-10003553"/>
    <s v="Furniture"/>
    <x v="3"/>
    <s v="Howard Miller 13-1/2&quot; Diameter Rosebrook Wall Clock"/>
    <n v="137.54"/>
    <n v="2"/>
    <n v="55.015999999999998"/>
    <x v="1"/>
    <x v="0"/>
  </r>
  <r>
    <x v="1701"/>
    <x v="356"/>
    <d v="2014-11-25T00:00:00"/>
    <x v="1"/>
    <s v="MH-17785"/>
    <s v="Maya Herman"/>
    <x v="1"/>
    <s v="United States"/>
    <x v="15"/>
    <x v="13"/>
    <x v="1"/>
    <s v="FUR-TA-10003008"/>
    <s v="Furniture"/>
    <x v="2"/>
    <s v="Lesro Round Back Collection Coffee Table, End Table"/>
    <n v="730.2"/>
    <n v="4"/>
    <n v="94.926000000000002"/>
    <x v="1"/>
    <x v="0"/>
  </r>
  <r>
    <x v="1702"/>
    <x v="874"/>
    <d v="2015-01-31T00:00:00"/>
    <x v="0"/>
    <s v="JH-15985"/>
    <s v="Joseph Holt"/>
    <x v="0"/>
    <s v="United States"/>
    <x v="41"/>
    <x v="30"/>
    <x v="0"/>
    <s v="FUR-TA-10000198"/>
    <s v="Furniture"/>
    <x v="2"/>
    <s v="Chromcraft Bull-Nose Wood Oval Conference Tables &amp; Bases"/>
    <n v="4297.6440000000002"/>
    <n v="13"/>
    <n v="-1862.3124"/>
    <x v="0"/>
    <x v="8"/>
  </r>
  <r>
    <x v="1703"/>
    <x v="600"/>
    <d v="2014-03-12T00:00:00"/>
    <x v="1"/>
    <s v="CM-12715"/>
    <s v="Craig Molinari"/>
    <x v="1"/>
    <s v="United States"/>
    <x v="15"/>
    <x v="13"/>
    <x v="1"/>
    <s v="FUR-CH-10002780"/>
    <s v="Furniture"/>
    <x v="1"/>
    <s v="Office Star - Task Chair with Contemporary Loop Arms"/>
    <n v="436.70400000000001"/>
    <n v="6"/>
    <n v="21.8352"/>
    <x v="2"/>
    <x v="9"/>
  </r>
  <r>
    <x v="1703"/>
    <x v="600"/>
    <d v="2014-03-12T00:00:00"/>
    <x v="1"/>
    <s v="CM-12715"/>
    <s v="Craig Molinari"/>
    <x v="1"/>
    <s v="United States"/>
    <x v="15"/>
    <x v="13"/>
    <x v="1"/>
    <s v="FUR-CH-10004495"/>
    <s v="Furniture"/>
    <x v="1"/>
    <s v="Global Leather and Oak Executive Chair, Black"/>
    <n v="481.56799999999998"/>
    <n v="2"/>
    <n v="54.176400000000001"/>
    <x v="2"/>
    <x v="9"/>
  </r>
  <r>
    <x v="1704"/>
    <x v="675"/>
    <d v="2016-11-30T00:00:00"/>
    <x v="1"/>
    <s v="MS-17365"/>
    <s v="Maribeth Schnelling"/>
    <x v="0"/>
    <s v="United States"/>
    <x v="2"/>
    <x v="2"/>
    <x v="1"/>
    <s v="FUR-BO-10002213"/>
    <s v="Furniture"/>
    <x v="0"/>
    <s v="DMI Eclipse Executive Suite Bookcases"/>
    <n v="3406.6640000000002"/>
    <n v="8"/>
    <n v="160.31360000000001"/>
    <x v="4"/>
    <x v="0"/>
  </r>
  <r>
    <x v="1704"/>
    <x v="675"/>
    <d v="2016-11-30T00:00:00"/>
    <x v="1"/>
    <s v="MS-17365"/>
    <s v="Maribeth Schnelling"/>
    <x v="0"/>
    <s v="United States"/>
    <x v="2"/>
    <x v="2"/>
    <x v="1"/>
    <s v="FUR-FU-10002937"/>
    <s v="Furniture"/>
    <x v="3"/>
    <s v="GE 48&quot; Fluorescent Tube, Cool White Energy Saver, 34 Watts, 30/Box"/>
    <n v="595.38"/>
    <n v="6"/>
    <n v="297.69"/>
    <x v="4"/>
    <x v="0"/>
  </r>
  <r>
    <x v="1705"/>
    <x v="875"/>
    <d v="2014-09-29T00:00:00"/>
    <x v="1"/>
    <s v="AS-10090"/>
    <s v="Adam Shillingsburg"/>
    <x v="0"/>
    <s v="United States"/>
    <x v="13"/>
    <x v="7"/>
    <x v="2"/>
    <s v="FUR-FU-10001876"/>
    <s v="Furniture"/>
    <x v="3"/>
    <s v="Computer Room Manger, 14&quot;"/>
    <n v="97.44"/>
    <n v="3"/>
    <n v="35.078400000000002"/>
    <x v="1"/>
    <x v="4"/>
  </r>
  <r>
    <x v="1705"/>
    <x v="875"/>
    <d v="2014-09-29T00:00:00"/>
    <x v="1"/>
    <s v="AS-10090"/>
    <s v="Adam Shillingsburg"/>
    <x v="0"/>
    <s v="United States"/>
    <x v="13"/>
    <x v="7"/>
    <x v="2"/>
    <s v="FUR-CH-10004983"/>
    <s v="Furniture"/>
    <x v="1"/>
    <s v="Office Star - Mid Back Dual function Ergonomic High Back Chair with 2-Way Adjustable Arms"/>
    <n v="579.52800000000002"/>
    <n v="4"/>
    <n v="83.709599999999995"/>
    <x v="1"/>
    <x v="4"/>
  </r>
  <r>
    <x v="1706"/>
    <x v="716"/>
    <d v="2017-11-20T00:00:00"/>
    <x v="1"/>
    <s v="LC-16885"/>
    <s v="Lena Creighton"/>
    <x v="0"/>
    <s v="United States"/>
    <x v="2"/>
    <x v="2"/>
    <x v="1"/>
    <s v="FUR-FU-10003268"/>
    <s v="Furniture"/>
    <x v="3"/>
    <s v="Eldon Radial Chair Mat for Low to Medium Pile Carpets"/>
    <n v="119.94"/>
    <n v="3"/>
    <n v="23.988"/>
    <x v="4"/>
    <x v="0"/>
  </r>
  <r>
    <x v="1706"/>
    <x v="716"/>
    <d v="2017-11-20T00:00:00"/>
    <x v="1"/>
    <s v="LC-16885"/>
    <s v="Lena Creighton"/>
    <x v="0"/>
    <s v="United States"/>
    <x v="2"/>
    <x v="2"/>
    <x v="1"/>
    <s v="FUR-FU-10001847"/>
    <s v="Furniture"/>
    <x v="3"/>
    <s v="Eldon Image Series Black Desk Accessories"/>
    <n v="12.42"/>
    <n v="3"/>
    <n v="4.4711999999999996"/>
    <x v="4"/>
    <x v="0"/>
  </r>
  <r>
    <x v="1707"/>
    <x v="349"/>
    <d v="2016-05-10T00:00:00"/>
    <x v="1"/>
    <s v="GM-14500"/>
    <s v="Gene McClure"/>
    <x v="0"/>
    <s v="United States"/>
    <x v="175"/>
    <x v="2"/>
    <x v="1"/>
    <s v="FUR-FU-10001617"/>
    <s v="Furniture"/>
    <x v="3"/>
    <s v="Executive Impressions 8-1/2&quot; Career Panel/Partition Cubicle Clock"/>
    <n v="41.6"/>
    <n v="4"/>
    <n v="14.144"/>
    <x v="4"/>
    <x v="7"/>
  </r>
  <r>
    <x v="1708"/>
    <x v="838"/>
    <d v="2017-12-18T00:00:00"/>
    <x v="1"/>
    <s v="EP-13915"/>
    <s v="Emily Phan"/>
    <x v="0"/>
    <s v="United States"/>
    <x v="28"/>
    <x v="2"/>
    <x v="1"/>
    <s v="FUR-FU-10001473"/>
    <s v="Furniture"/>
    <x v="3"/>
    <s v="Eldon Executive Woodline II Desk Accessories, Mahogany"/>
    <n v="201.04"/>
    <n v="8"/>
    <n v="54.280799999999999"/>
    <x v="2"/>
    <x v="5"/>
  </r>
  <r>
    <x v="1709"/>
    <x v="18"/>
    <d v="2015-11-17T00:00:00"/>
    <x v="1"/>
    <s v="PO-18850"/>
    <s v="Patrick O'Brill"/>
    <x v="0"/>
    <s v="United States"/>
    <x v="6"/>
    <x v="5"/>
    <x v="3"/>
    <s v="FUR-BO-10001811"/>
    <s v="Furniture"/>
    <x v="0"/>
    <s v="Atlantic Metals Mobile 5-Shelf Bookcases, Custom Colors"/>
    <n v="613.99919999999997"/>
    <n v="3"/>
    <n v="-18.058800000000002"/>
    <x v="4"/>
    <x v="0"/>
  </r>
  <r>
    <x v="1710"/>
    <x v="237"/>
    <d v="2016-03-11T00:00:00"/>
    <x v="3"/>
    <s v="BT-11485"/>
    <s v="Brad Thomas"/>
    <x v="2"/>
    <s v="United States"/>
    <x v="3"/>
    <x v="3"/>
    <x v="2"/>
    <s v="FUR-FU-10001037"/>
    <s v="Furniture"/>
    <x v="3"/>
    <s v="DAX Charcoal/Nickel-Tone Document Frame, 5 x 7"/>
    <n v="30.335999999999999"/>
    <n v="4"/>
    <n v="9.48"/>
    <x v="7"/>
    <x v="9"/>
  </r>
  <r>
    <x v="1711"/>
    <x v="59"/>
    <d v="2016-10-27T00:00:00"/>
    <x v="1"/>
    <s v="CS-11950"/>
    <s v="Carlos Soltero"/>
    <x v="0"/>
    <s v="United States"/>
    <x v="2"/>
    <x v="2"/>
    <x v="1"/>
    <s v="FUR-CH-10004626"/>
    <s v="Furniture"/>
    <x v="1"/>
    <s v="Office Star Flex Back Scooter Chair with Aluminum Finish Frame"/>
    <n v="242.136"/>
    <n v="3"/>
    <n v="12.1068"/>
    <x v="6"/>
    <x v="1"/>
  </r>
  <r>
    <x v="1711"/>
    <x v="59"/>
    <d v="2016-10-27T00:00:00"/>
    <x v="1"/>
    <s v="CS-11950"/>
    <s v="Carlos Soltero"/>
    <x v="0"/>
    <s v="United States"/>
    <x v="2"/>
    <x v="2"/>
    <x v="1"/>
    <s v="FUR-FU-10003731"/>
    <s v="Furniture"/>
    <x v="3"/>
    <s v="Eldon Expressions Wood and Plastic Desk Accessories, Oak"/>
    <n v="19.96"/>
    <n v="2"/>
    <n v="5.5888"/>
    <x v="6"/>
    <x v="1"/>
  </r>
  <r>
    <x v="1712"/>
    <x v="726"/>
    <d v="2014-11-10T00:00:00"/>
    <x v="1"/>
    <s v="MD-17350"/>
    <s v="Maribeth Dona"/>
    <x v="0"/>
    <s v="United States"/>
    <x v="3"/>
    <x v="3"/>
    <x v="2"/>
    <s v="FUR-FU-10001468"/>
    <s v="Furniture"/>
    <x v="3"/>
    <s v="Tenex Antistatic Computer Chair Mats"/>
    <n v="273.56799999999998"/>
    <n v="2"/>
    <n v="-34.195999999999998"/>
    <x v="2"/>
    <x v="0"/>
  </r>
  <r>
    <x v="1713"/>
    <x v="710"/>
    <d v="2016-09-26T00:00:00"/>
    <x v="1"/>
    <s v="CS-12250"/>
    <s v="Chris Selesnick"/>
    <x v="1"/>
    <s v="United States"/>
    <x v="356"/>
    <x v="16"/>
    <x v="3"/>
    <s v="FUR-FU-10002445"/>
    <s v="Furniture"/>
    <x v="3"/>
    <s v="DAX Two-Tone Rosewood/Black Document Frame, Desktop, 5 x 7"/>
    <n v="18.96"/>
    <n v="2"/>
    <n v="7.5839999999999996"/>
    <x v="4"/>
    <x v="4"/>
  </r>
  <r>
    <x v="1714"/>
    <x v="285"/>
    <d v="2016-02-20T00:00:00"/>
    <x v="1"/>
    <s v="JF-15565"/>
    <s v="Jill Fjeld"/>
    <x v="0"/>
    <s v="United States"/>
    <x v="13"/>
    <x v="7"/>
    <x v="2"/>
    <s v="FUR-CH-10001802"/>
    <s v="Furniture"/>
    <x v="1"/>
    <s v="Hon Every-Day Chair Series Swivel Task Chairs"/>
    <n v="326.64600000000002"/>
    <n v="3"/>
    <n v="39.923400000000001"/>
    <x v="4"/>
    <x v="11"/>
  </r>
  <r>
    <x v="1715"/>
    <x v="663"/>
    <d v="2014-08-25T00:00:00"/>
    <x v="1"/>
    <s v="NC-18535"/>
    <s v="Nick Crebassa"/>
    <x v="1"/>
    <s v="United States"/>
    <x v="247"/>
    <x v="25"/>
    <x v="0"/>
    <s v="FUR-CH-10001797"/>
    <s v="Furniture"/>
    <x v="1"/>
    <s v="Safco Chair Connectors, 6/Carton"/>
    <n v="500.24"/>
    <n v="13"/>
    <n v="145.06960000000001"/>
    <x v="2"/>
    <x v="10"/>
  </r>
  <r>
    <x v="1716"/>
    <x v="428"/>
    <d v="2015-11-12T00:00:00"/>
    <x v="1"/>
    <s v="QJ-19255"/>
    <s v="Quincy Jones"/>
    <x v="1"/>
    <s v="United States"/>
    <x v="259"/>
    <x v="43"/>
    <x v="2"/>
    <s v="FUR-BO-10004834"/>
    <s v="Furniture"/>
    <x v="0"/>
    <s v="Riverside Palais Royal Lawyers Bookcase, Royale Cherry Finish"/>
    <n v="4404.8999999999996"/>
    <n v="5"/>
    <n v="1013.127"/>
    <x v="4"/>
    <x v="0"/>
  </r>
  <r>
    <x v="1717"/>
    <x v="241"/>
    <d v="2017-11-24T00:00:00"/>
    <x v="3"/>
    <s v="BP-11290"/>
    <s v="Beth Paige"/>
    <x v="0"/>
    <s v="United States"/>
    <x v="2"/>
    <x v="2"/>
    <x v="1"/>
    <s v="FUR-TA-10000617"/>
    <s v="Furniture"/>
    <x v="2"/>
    <s v="Hon Practical Foundations 30 x 60 Training Table, Light Gray/Charcoal"/>
    <n v="364.08"/>
    <n v="2"/>
    <n v="9.1020000000000003"/>
    <x v="7"/>
    <x v="0"/>
  </r>
  <r>
    <x v="1717"/>
    <x v="241"/>
    <d v="2017-11-24T00:00:00"/>
    <x v="3"/>
    <s v="BP-11290"/>
    <s v="Beth Paige"/>
    <x v="0"/>
    <s v="United States"/>
    <x v="2"/>
    <x v="2"/>
    <x v="1"/>
    <s v="FUR-TA-10001676"/>
    <s v="Furniture"/>
    <x v="2"/>
    <s v="Hon 61000 Series Interactive Training Tables"/>
    <n v="71.087999999999994"/>
    <n v="2"/>
    <n v="-1.7771999999999999"/>
    <x v="7"/>
    <x v="0"/>
  </r>
  <r>
    <x v="1718"/>
    <x v="163"/>
    <d v="2014-11-15T00:00:00"/>
    <x v="1"/>
    <s v="BH-11710"/>
    <s v="Brosina Hoffman"/>
    <x v="0"/>
    <s v="United States"/>
    <x v="9"/>
    <x v="8"/>
    <x v="3"/>
    <s v="FUR-FU-10000175"/>
    <s v="Furniture"/>
    <x v="3"/>
    <s v="DAX Wood Document Frame."/>
    <n v="10.984"/>
    <n v="2"/>
    <n v="-7.9634"/>
    <x v="4"/>
    <x v="0"/>
  </r>
  <r>
    <x v="1718"/>
    <x v="163"/>
    <d v="2014-11-15T00:00:00"/>
    <x v="1"/>
    <s v="BH-11710"/>
    <s v="Brosina Hoffman"/>
    <x v="0"/>
    <s v="United States"/>
    <x v="9"/>
    <x v="8"/>
    <x v="3"/>
    <s v="FUR-CH-10003379"/>
    <s v="Furniture"/>
    <x v="1"/>
    <s v="Global Commerce Series High-Back Swivel/Tilt Chairs"/>
    <n v="797.94399999999996"/>
    <n v="4"/>
    <n v="-56.996000000000002"/>
    <x v="4"/>
    <x v="0"/>
  </r>
  <r>
    <x v="1719"/>
    <x v="582"/>
    <d v="2017-03-29T00:00:00"/>
    <x v="0"/>
    <s v="LC-16870"/>
    <s v="Lena Cacioppo"/>
    <x v="0"/>
    <s v="United States"/>
    <x v="52"/>
    <x v="25"/>
    <x v="0"/>
    <s v="FUR-TA-10002533"/>
    <s v="Furniture"/>
    <x v="2"/>
    <s v="BPI Conference Tables"/>
    <n v="292.10000000000002"/>
    <n v="2"/>
    <n v="58.42"/>
    <x v="3"/>
    <x v="9"/>
  </r>
  <r>
    <x v="1720"/>
    <x v="359"/>
    <d v="2016-11-05T00:00:00"/>
    <x v="1"/>
    <s v="SF-20965"/>
    <s v="Sylvia Foulston"/>
    <x v="1"/>
    <s v="United States"/>
    <x v="28"/>
    <x v="2"/>
    <x v="1"/>
    <s v="FUR-CH-10001854"/>
    <s v="Furniture"/>
    <x v="1"/>
    <s v="Office Star - Professional Matrix Back Chair with 2-to-1 Synchro Tilt and Mesh Fabric Seat"/>
    <n v="1403.92"/>
    <n v="5"/>
    <n v="70.195999999999998"/>
    <x v="2"/>
    <x v="1"/>
  </r>
  <r>
    <x v="1721"/>
    <x v="243"/>
    <d v="2016-11-30T00:00:00"/>
    <x v="1"/>
    <s v="SC-20050"/>
    <s v="Sample Company A"/>
    <x v="2"/>
    <s v="United States"/>
    <x v="173"/>
    <x v="1"/>
    <x v="0"/>
    <s v="FUR-BO-10001619"/>
    <s v="Furniture"/>
    <x v="0"/>
    <s v="O'Sullivan Cherrywood Estates Traditional Bookcase"/>
    <n v="339.92"/>
    <n v="5"/>
    <n v="8.4979999999999993"/>
    <x v="6"/>
    <x v="0"/>
  </r>
  <r>
    <x v="1722"/>
    <x v="503"/>
    <d v="2014-07-30T00:00:00"/>
    <x v="1"/>
    <s v="LF-17185"/>
    <s v="Luke Foster"/>
    <x v="0"/>
    <s v="United States"/>
    <x v="21"/>
    <x v="5"/>
    <x v="3"/>
    <s v="FUR-FU-10004666"/>
    <s v="Furniture"/>
    <x v="3"/>
    <s v="DAX Clear Channel Poster Frame"/>
    <n v="17.495999999999999"/>
    <n v="3"/>
    <n v="-10.0602"/>
    <x v="4"/>
    <x v="3"/>
  </r>
  <r>
    <x v="1723"/>
    <x v="151"/>
    <d v="2015-06-02T00:00:00"/>
    <x v="0"/>
    <s v="EM-13825"/>
    <s v="Elizabeth Moffitt"/>
    <x v="1"/>
    <s v="United States"/>
    <x v="309"/>
    <x v="18"/>
    <x v="2"/>
    <s v="FUR-FU-10001847"/>
    <s v="Furniture"/>
    <x v="3"/>
    <s v="Eldon Image Series Black Desk Accessories"/>
    <n v="8.2799999999999994"/>
    <n v="2"/>
    <n v="2.9807999999999999"/>
    <x v="3"/>
    <x v="7"/>
  </r>
  <r>
    <x v="1724"/>
    <x v="726"/>
    <d v="2014-11-05T00:00:00"/>
    <x v="3"/>
    <s v="BG-11035"/>
    <s v="Barry Gonzalez"/>
    <x v="0"/>
    <s v="United States"/>
    <x v="247"/>
    <x v="25"/>
    <x v="0"/>
    <s v="FUR-CH-10004754"/>
    <s v="Furniture"/>
    <x v="1"/>
    <s v="Global Stack Chair with Arms, Black"/>
    <n v="149.9"/>
    <n v="5"/>
    <n v="40.472999999999999"/>
    <x v="7"/>
    <x v="0"/>
  </r>
  <r>
    <x v="1725"/>
    <x v="582"/>
    <d v="2017-04-01T00:00:00"/>
    <x v="1"/>
    <s v="CJ-12010"/>
    <s v="Caroline Jumper"/>
    <x v="0"/>
    <s v="United States"/>
    <x v="6"/>
    <x v="5"/>
    <x v="3"/>
    <s v="FUR-BO-10001811"/>
    <s v="Furniture"/>
    <x v="0"/>
    <s v="Atlantic Metals Mobile 5-Shelf Bookcases, Custom Colors"/>
    <n v="1023.332"/>
    <n v="5"/>
    <n v="-30.097999999999999"/>
    <x v="2"/>
    <x v="9"/>
  </r>
  <r>
    <x v="1725"/>
    <x v="582"/>
    <d v="2017-04-01T00:00:00"/>
    <x v="1"/>
    <s v="CJ-12010"/>
    <s v="Caroline Jumper"/>
    <x v="0"/>
    <s v="United States"/>
    <x v="6"/>
    <x v="5"/>
    <x v="3"/>
    <s v="FUR-CH-10004063"/>
    <s v="Furniture"/>
    <x v="1"/>
    <s v="Global Deluxe High-Back Manager's Chair"/>
    <n v="600.55799999999999"/>
    <n v="3"/>
    <n v="-8.5793999999999997"/>
    <x v="2"/>
    <x v="9"/>
  </r>
  <r>
    <x v="1725"/>
    <x v="582"/>
    <d v="2017-04-01T00:00:00"/>
    <x v="1"/>
    <s v="CJ-12010"/>
    <s v="Caroline Jumper"/>
    <x v="0"/>
    <s v="United States"/>
    <x v="6"/>
    <x v="5"/>
    <x v="3"/>
    <s v="FUR-CH-10001714"/>
    <s v="Furniture"/>
    <x v="1"/>
    <s v="Global Leather &amp; Oak Executive Chair, Burgundy"/>
    <n v="211.24600000000001"/>
    <n v="2"/>
    <n v="-66.391599999999997"/>
    <x v="2"/>
    <x v="9"/>
  </r>
  <r>
    <x v="1726"/>
    <x v="876"/>
    <d v="2014-05-23T00:00:00"/>
    <x v="0"/>
    <s v="KH-16360"/>
    <s v="Katherine Hughes"/>
    <x v="0"/>
    <s v="United States"/>
    <x v="6"/>
    <x v="5"/>
    <x v="3"/>
    <s v="FUR-CH-10003396"/>
    <s v="Furniture"/>
    <x v="1"/>
    <s v="Global Deluxe Steno Chair"/>
    <n v="107.77200000000001"/>
    <n v="2"/>
    <n v="-29.252400000000002"/>
    <x v="3"/>
    <x v="7"/>
  </r>
  <r>
    <x v="1727"/>
    <x v="877"/>
    <d v="2015-07-20T00:00:00"/>
    <x v="0"/>
    <s v="PJ-19015"/>
    <s v="Pauline Johnson"/>
    <x v="0"/>
    <s v="United States"/>
    <x v="13"/>
    <x v="7"/>
    <x v="2"/>
    <s v="FUR-FU-10002364"/>
    <s v="Furniture"/>
    <x v="3"/>
    <s v="Eldon Expressions Wood Desk Accessories, Oak"/>
    <n v="7.38"/>
    <n v="1"/>
    <n v="2.1402000000000001"/>
    <x v="3"/>
    <x v="3"/>
  </r>
  <r>
    <x v="1728"/>
    <x v="59"/>
    <d v="2016-10-26T00:00:00"/>
    <x v="1"/>
    <s v="AP-10720"/>
    <s v="Anne Pryor"/>
    <x v="2"/>
    <s v="United States"/>
    <x v="1"/>
    <x v="1"/>
    <x v="0"/>
    <s v="FUR-FU-10002878"/>
    <s v="Furniture"/>
    <x v="3"/>
    <s v="Seth Thomas 14&quot; Day/Date Wall Clock"/>
    <n v="45.567999999999998"/>
    <n v="2"/>
    <n v="9.6831999999999994"/>
    <x v="2"/>
    <x v="1"/>
  </r>
  <r>
    <x v="1729"/>
    <x v="534"/>
    <d v="2017-08-01T00:00:00"/>
    <x v="0"/>
    <s v="JW-15955"/>
    <s v="Joni Wasserman"/>
    <x v="0"/>
    <s v="United States"/>
    <x v="168"/>
    <x v="30"/>
    <x v="0"/>
    <s v="FUR-CH-10001146"/>
    <s v="Furniture"/>
    <x v="1"/>
    <s v="Global Value Mid-Back Manager's Chair, Gray"/>
    <n v="194.84800000000001"/>
    <n v="4"/>
    <n v="12.178000000000001"/>
    <x v="2"/>
    <x v="3"/>
  </r>
  <r>
    <x v="1730"/>
    <x v="878"/>
    <d v="2015-06-12T00:00:00"/>
    <x v="1"/>
    <s v="AG-10495"/>
    <s v="Andrew Gjertsen"/>
    <x v="1"/>
    <s v="United States"/>
    <x v="66"/>
    <x v="1"/>
    <x v="0"/>
    <s v="FUR-FU-10001185"/>
    <s v="Furniture"/>
    <x v="3"/>
    <s v="Advantus Employee of the Month Certificate Frame, 11 x 13-1/2"/>
    <n v="173.208"/>
    <n v="7"/>
    <n v="45.467100000000002"/>
    <x v="4"/>
    <x v="2"/>
  </r>
  <r>
    <x v="1731"/>
    <x v="879"/>
    <d v="2014-08-19T00:00:00"/>
    <x v="1"/>
    <s v="BD-11605"/>
    <s v="Brian Dahlen"/>
    <x v="0"/>
    <s v="United States"/>
    <x v="28"/>
    <x v="2"/>
    <x v="1"/>
    <s v="FUR-CH-10003833"/>
    <s v="Furniture"/>
    <x v="1"/>
    <s v="Novimex Fabric Task Chair"/>
    <n v="195.136"/>
    <n v="4"/>
    <n v="-12.196"/>
    <x v="4"/>
    <x v="10"/>
  </r>
  <r>
    <x v="1732"/>
    <x v="3"/>
    <d v="2017-07-23T00:00:00"/>
    <x v="1"/>
    <s v="NF-18385"/>
    <s v="Natalie Fritzler"/>
    <x v="0"/>
    <s v="United States"/>
    <x v="127"/>
    <x v="30"/>
    <x v="0"/>
    <s v="FUR-CH-10004218"/>
    <s v="Furniture"/>
    <x v="1"/>
    <s v="Global Fabric Manager's Chair, Dark Gray"/>
    <n v="242.352"/>
    <n v="3"/>
    <n v="15.147"/>
    <x v="1"/>
    <x v="3"/>
  </r>
  <r>
    <x v="1733"/>
    <x v="439"/>
    <d v="2014-12-18T00:00:00"/>
    <x v="0"/>
    <s v="SC-20305"/>
    <s v="Sean Christensen"/>
    <x v="0"/>
    <s v="United States"/>
    <x v="365"/>
    <x v="5"/>
    <x v="3"/>
    <s v="FUR-FU-10001706"/>
    <s v="Furniture"/>
    <x v="3"/>
    <s v="Longer-Life Soft White Bulbs"/>
    <n v="8.6240000000000006"/>
    <n v="7"/>
    <n v="-2.5872000000000002"/>
    <x v="3"/>
    <x v="5"/>
  </r>
  <r>
    <x v="1734"/>
    <x v="792"/>
    <d v="2016-10-12T00:00:00"/>
    <x v="2"/>
    <s v="WB-21850"/>
    <s v="William Brown"/>
    <x v="0"/>
    <s v="United States"/>
    <x v="101"/>
    <x v="5"/>
    <x v="3"/>
    <s v="FUR-FU-10004963"/>
    <s v="Furniture"/>
    <x v="3"/>
    <s v="Eldon 400 Class Desk Accessories, Black Carbon"/>
    <n v="14"/>
    <n v="4"/>
    <n v="-6.3"/>
    <x v="3"/>
    <x v="1"/>
  </r>
  <r>
    <x v="1735"/>
    <x v="228"/>
    <d v="2016-10-01T00:00:00"/>
    <x v="1"/>
    <s v="DL-12865"/>
    <s v="Dan Lawera"/>
    <x v="0"/>
    <s v="United States"/>
    <x v="62"/>
    <x v="2"/>
    <x v="1"/>
    <s v="FUR-CH-10000665"/>
    <s v="Furniture"/>
    <x v="1"/>
    <s v="Global Airflow Leather Mesh Back Chair, Black"/>
    <n v="483.13600000000002"/>
    <n v="4"/>
    <n v="60.392000000000003"/>
    <x v="6"/>
    <x v="4"/>
  </r>
  <r>
    <x v="1736"/>
    <x v="270"/>
    <d v="2014-06-06T00:00:00"/>
    <x v="2"/>
    <s v="RE-19450"/>
    <s v="Richard Eichhorn"/>
    <x v="0"/>
    <s v="United States"/>
    <x v="42"/>
    <x v="8"/>
    <x v="3"/>
    <s v="FUR-FU-10001475"/>
    <s v="Furniture"/>
    <x v="3"/>
    <s v="Contract Clock, 14&quot;, Brown"/>
    <n v="61.543999999999997"/>
    <n v="7"/>
    <n v="-40.003599999999999"/>
    <x v="0"/>
    <x v="2"/>
  </r>
  <r>
    <x v="1737"/>
    <x v="113"/>
    <d v="2017-09-04T00:00:00"/>
    <x v="0"/>
    <s v="MH-17290"/>
    <s v="Marc Harrigan"/>
    <x v="2"/>
    <s v="United States"/>
    <x v="2"/>
    <x v="2"/>
    <x v="1"/>
    <s v="FUR-FU-10004188"/>
    <s v="Furniture"/>
    <x v="3"/>
    <s v="Luxo Professional Combination Clamp-On Lamps"/>
    <n v="511.5"/>
    <n v="5"/>
    <n v="132.99"/>
    <x v="3"/>
    <x v="4"/>
  </r>
  <r>
    <x v="1738"/>
    <x v="630"/>
    <d v="2016-05-06T00:00:00"/>
    <x v="1"/>
    <s v="EH-13765"/>
    <s v="Edward Hooks"/>
    <x v="1"/>
    <s v="United States"/>
    <x v="13"/>
    <x v="7"/>
    <x v="2"/>
    <s v="FUR-FU-10000732"/>
    <s v="Furniture"/>
    <x v="3"/>
    <s v="Eldon 200 Class Desk Accessories"/>
    <n v="12.56"/>
    <n v="2"/>
    <n v="4.0191999999999997"/>
    <x v="4"/>
    <x v="7"/>
  </r>
  <r>
    <x v="1738"/>
    <x v="630"/>
    <d v="2016-05-06T00:00:00"/>
    <x v="1"/>
    <s v="EH-13765"/>
    <s v="Edward Hooks"/>
    <x v="1"/>
    <s v="United States"/>
    <x v="13"/>
    <x v="7"/>
    <x v="2"/>
    <s v="FUR-FU-10002253"/>
    <s v="Furniture"/>
    <x v="3"/>
    <s v="Howard Miller 13&quot; Diameter Pewter Finish Round Wall Clock"/>
    <n v="214.7"/>
    <n v="5"/>
    <n v="83.733000000000004"/>
    <x v="4"/>
    <x v="7"/>
  </r>
  <r>
    <x v="1739"/>
    <x v="744"/>
    <d v="2017-06-23T00:00:00"/>
    <x v="1"/>
    <s v="GA-14515"/>
    <s v="George Ashbrook"/>
    <x v="0"/>
    <s v="United States"/>
    <x v="28"/>
    <x v="2"/>
    <x v="1"/>
    <s v="FUR-FU-10002396"/>
    <s v="Furniture"/>
    <x v="3"/>
    <s v="DAX Copper Panel Document Frame, 5 x 7 Size"/>
    <n v="50.32"/>
    <n v="4"/>
    <n v="21.134399999999999"/>
    <x v="4"/>
    <x v="2"/>
  </r>
  <r>
    <x v="1740"/>
    <x v="880"/>
    <d v="2015-03-30T00:00:00"/>
    <x v="1"/>
    <s v="EB-13840"/>
    <s v="Ellis Ballard"/>
    <x v="1"/>
    <s v="United States"/>
    <x v="15"/>
    <x v="13"/>
    <x v="1"/>
    <s v="FUR-TA-10001889"/>
    <s v="Furniture"/>
    <x v="2"/>
    <s v="Bush Advantage Collection Racetrack Conference Table"/>
    <n v="3393.68"/>
    <n v="8"/>
    <n v="610.86239999999998"/>
    <x v="4"/>
    <x v="9"/>
  </r>
  <r>
    <x v="1741"/>
    <x v="881"/>
    <d v="2017-01-20T00:00:00"/>
    <x v="1"/>
    <s v="HR-14770"/>
    <s v="Hallie Redmond"/>
    <x v="2"/>
    <s v="United States"/>
    <x v="52"/>
    <x v="6"/>
    <x v="3"/>
    <s v="FUR-FU-10001037"/>
    <s v="Furniture"/>
    <x v="3"/>
    <s v="DAX Charcoal/Nickel-Tone Document Frame, 5 x 7"/>
    <n v="18.96"/>
    <n v="2"/>
    <n v="8.532"/>
    <x v="6"/>
    <x v="8"/>
  </r>
  <r>
    <x v="1742"/>
    <x v="770"/>
    <d v="2014-11-03T00:00:00"/>
    <x v="2"/>
    <s v="EA-14035"/>
    <s v="Erin Ashbrook"/>
    <x v="1"/>
    <s v="United States"/>
    <x v="366"/>
    <x v="15"/>
    <x v="2"/>
    <s v="FUR-FU-10002253"/>
    <s v="Furniture"/>
    <x v="3"/>
    <s v="Howard Miller 13&quot; Diameter Pewter Finish Round Wall Clock"/>
    <n v="68.703999999999994"/>
    <n v="2"/>
    <n v="16.3172"/>
    <x v="3"/>
    <x v="0"/>
  </r>
  <r>
    <x v="1743"/>
    <x v="650"/>
    <d v="2016-08-25T00:00:00"/>
    <x v="1"/>
    <s v="JK-15370"/>
    <s v="Jay Kimmel"/>
    <x v="0"/>
    <s v="United States"/>
    <x v="13"/>
    <x v="7"/>
    <x v="2"/>
    <s v="FUR-CH-10002961"/>
    <s v="Furniture"/>
    <x v="1"/>
    <s v="Leather Task Chair, Black"/>
    <n v="573.17399999999998"/>
    <n v="7"/>
    <n v="63.686"/>
    <x v="4"/>
    <x v="10"/>
  </r>
  <r>
    <x v="1744"/>
    <x v="81"/>
    <d v="2016-07-28T00:00:00"/>
    <x v="0"/>
    <s v="SH-19975"/>
    <s v="Sally Hughsby"/>
    <x v="1"/>
    <s v="United States"/>
    <x v="79"/>
    <x v="16"/>
    <x v="3"/>
    <s v="FUR-CH-10004626"/>
    <s v="Furniture"/>
    <x v="1"/>
    <s v="Office Star Flex Back Scooter Chair with Aluminum Finish Frame"/>
    <n v="403.56"/>
    <n v="4"/>
    <n v="96.854399999999998"/>
    <x v="0"/>
    <x v="3"/>
  </r>
  <r>
    <x v="1744"/>
    <x v="81"/>
    <d v="2016-07-28T00:00:00"/>
    <x v="0"/>
    <s v="SH-19975"/>
    <s v="Sally Hughsby"/>
    <x v="1"/>
    <s v="United States"/>
    <x v="79"/>
    <x v="16"/>
    <x v="3"/>
    <s v="FUR-FU-10001756"/>
    <s v="Furniture"/>
    <x v="3"/>
    <s v="Eldon Expressions Desk Accessory, Wood Photo Frame, Mahogany"/>
    <n v="95.2"/>
    <n v="5"/>
    <n v="27.608000000000001"/>
    <x v="0"/>
    <x v="3"/>
  </r>
  <r>
    <x v="1745"/>
    <x v="882"/>
    <d v="2016-06-10T00:00:00"/>
    <x v="1"/>
    <s v="LP-17095"/>
    <s v="Liz Preis"/>
    <x v="0"/>
    <s v="United States"/>
    <x v="130"/>
    <x v="15"/>
    <x v="2"/>
    <s v="FUR-FU-10004306"/>
    <s v="Furniture"/>
    <x v="3"/>
    <s v="Electrix Halogen Magnifier Lamp"/>
    <n v="466.32"/>
    <n v="3"/>
    <n v="34.973999999999997"/>
    <x v="4"/>
    <x v="2"/>
  </r>
  <r>
    <x v="1745"/>
    <x v="882"/>
    <d v="2016-06-10T00:00:00"/>
    <x v="1"/>
    <s v="LP-17095"/>
    <s v="Liz Preis"/>
    <x v="0"/>
    <s v="United States"/>
    <x v="130"/>
    <x v="15"/>
    <x v="2"/>
    <s v="FUR-FU-10004845"/>
    <s v="Furniture"/>
    <x v="3"/>
    <s v="Deflect-o EconoMat Nonstudded, No Bevel Mat"/>
    <n v="82.64"/>
    <n v="2"/>
    <n v="0"/>
    <x v="4"/>
    <x v="2"/>
  </r>
  <r>
    <x v="1746"/>
    <x v="786"/>
    <d v="2014-04-03T00:00:00"/>
    <x v="1"/>
    <s v="MP-18175"/>
    <s v="Mike Pelletier"/>
    <x v="2"/>
    <s v="United States"/>
    <x v="76"/>
    <x v="15"/>
    <x v="2"/>
    <s v="FUR-TA-10000198"/>
    <s v="Furniture"/>
    <x v="2"/>
    <s v="Chromcraft Bull-Nose Wood Oval Conference Tables &amp; Bases"/>
    <n v="330.58800000000002"/>
    <n v="1"/>
    <n v="-143.25479999999999"/>
    <x v="6"/>
    <x v="9"/>
  </r>
  <r>
    <x v="1747"/>
    <x v="67"/>
    <d v="2017-08-25T00:00:00"/>
    <x v="1"/>
    <s v="SC-20845"/>
    <s v="Sung Chung"/>
    <x v="0"/>
    <s v="United States"/>
    <x v="74"/>
    <x v="12"/>
    <x v="1"/>
    <s v="FUR-FU-10001037"/>
    <s v="Furniture"/>
    <x v="3"/>
    <s v="DAX Charcoal/Nickel-Tone Document Frame, 5 x 7"/>
    <n v="22.751999999999999"/>
    <n v="3"/>
    <n v="7.11"/>
    <x v="4"/>
    <x v="10"/>
  </r>
  <r>
    <x v="1748"/>
    <x v="352"/>
    <d v="2014-11-18T00:00:00"/>
    <x v="1"/>
    <s v="DP-13000"/>
    <s v="Darren Powers"/>
    <x v="0"/>
    <s v="United States"/>
    <x v="118"/>
    <x v="5"/>
    <x v="3"/>
    <s v="FUR-FU-10004587"/>
    <s v="Furniture"/>
    <x v="3"/>
    <s v="GE General Use Halogen Bulbs, 100 Watts, 1 Bulb per Pack"/>
    <n v="25.128"/>
    <n v="3"/>
    <n v="-6.9101999999999997"/>
    <x v="6"/>
    <x v="0"/>
  </r>
  <r>
    <x v="1749"/>
    <x v="615"/>
    <d v="2015-09-15T00:00:00"/>
    <x v="2"/>
    <s v="KD-16615"/>
    <s v="Ken Dana"/>
    <x v="1"/>
    <s v="United States"/>
    <x v="261"/>
    <x v="2"/>
    <x v="1"/>
    <s v="FUR-FU-10004973"/>
    <s v="Furniture"/>
    <x v="3"/>
    <s v="Flat Face Poster Frame"/>
    <n v="131.88"/>
    <n v="7"/>
    <n v="55.389600000000002"/>
    <x v="3"/>
    <x v="4"/>
  </r>
  <r>
    <x v="1749"/>
    <x v="615"/>
    <d v="2015-09-15T00:00:00"/>
    <x v="2"/>
    <s v="KD-16615"/>
    <s v="Ken Dana"/>
    <x v="1"/>
    <s v="United States"/>
    <x v="261"/>
    <x v="2"/>
    <x v="1"/>
    <s v="FUR-CH-10000155"/>
    <s v="Furniture"/>
    <x v="1"/>
    <s v="Global Comet Stacking Armless Chair"/>
    <n v="717.72"/>
    <n v="3"/>
    <n v="71.772000000000006"/>
    <x v="3"/>
    <x v="4"/>
  </r>
  <r>
    <x v="1749"/>
    <x v="615"/>
    <d v="2015-09-15T00:00:00"/>
    <x v="2"/>
    <s v="KD-16615"/>
    <s v="Ken Dana"/>
    <x v="1"/>
    <s v="United States"/>
    <x v="261"/>
    <x v="2"/>
    <x v="1"/>
    <s v="FUR-FU-10002379"/>
    <s v="Furniture"/>
    <x v="3"/>
    <s v="Eldon Econocleat Chair Mats for Low Pile Carpets"/>
    <n v="207.35"/>
    <n v="5"/>
    <n v="24.882000000000001"/>
    <x v="3"/>
    <x v="4"/>
  </r>
  <r>
    <x v="1749"/>
    <x v="615"/>
    <d v="2015-09-15T00:00:00"/>
    <x v="2"/>
    <s v="KD-16615"/>
    <s v="Ken Dana"/>
    <x v="1"/>
    <s v="United States"/>
    <x v="261"/>
    <x v="2"/>
    <x v="1"/>
    <s v="FUR-FU-10004018"/>
    <s v="Furniture"/>
    <x v="3"/>
    <s v="Tensor Computer Mounted Lamp"/>
    <n v="44.67"/>
    <n v="3"/>
    <n v="12.0609"/>
    <x v="3"/>
    <x v="4"/>
  </r>
  <r>
    <x v="1750"/>
    <x v="883"/>
    <d v="2015-10-12T00:00:00"/>
    <x v="2"/>
    <s v="KN-16390"/>
    <s v="Katherine Nockton"/>
    <x v="1"/>
    <s v="United States"/>
    <x v="367"/>
    <x v="2"/>
    <x v="1"/>
    <s v="FUR-CH-10001714"/>
    <s v="Furniture"/>
    <x v="1"/>
    <s v="Global Leather &amp; Oak Executive Chair, Burgundy"/>
    <n v="362.13600000000002"/>
    <n v="3"/>
    <n v="-54.320399999999999"/>
    <x v="3"/>
    <x v="1"/>
  </r>
  <r>
    <x v="1751"/>
    <x v="884"/>
    <d v="2017-01-31T00:00:00"/>
    <x v="0"/>
    <s v="TM-21010"/>
    <s v="Tamara Manning"/>
    <x v="0"/>
    <s v="United States"/>
    <x v="149"/>
    <x v="26"/>
    <x v="3"/>
    <s v="FUR-FU-10000010"/>
    <s v="Furniture"/>
    <x v="3"/>
    <s v="DAX Value U-Channel Document Frames, Easel Back"/>
    <n v="14.91"/>
    <n v="3"/>
    <n v="4.6220999999999997"/>
    <x v="3"/>
    <x v="8"/>
  </r>
  <r>
    <x v="1752"/>
    <x v="775"/>
    <d v="2016-03-19T00:00:00"/>
    <x v="1"/>
    <s v="MY-18295"/>
    <s v="Muhammed Yedwab"/>
    <x v="1"/>
    <s v="United States"/>
    <x v="368"/>
    <x v="5"/>
    <x v="3"/>
    <s v="FUR-CH-10000863"/>
    <s v="Furniture"/>
    <x v="1"/>
    <s v="Novimex Swivel Fabric Task Chair"/>
    <n v="528.42999999999995"/>
    <n v="5"/>
    <n v="-143.43100000000001"/>
    <x v="4"/>
    <x v="9"/>
  </r>
  <r>
    <x v="1753"/>
    <x v="631"/>
    <d v="2016-09-04T00:00:00"/>
    <x v="3"/>
    <s v="IM-15055"/>
    <s v="Ionia McGrath"/>
    <x v="0"/>
    <s v="United States"/>
    <x v="28"/>
    <x v="2"/>
    <x v="1"/>
    <s v="FUR-FU-10000260"/>
    <s v="Furniture"/>
    <x v="3"/>
    <s v="6&quot; Cubicle Wall Clock, Black"/>
    <n v="24.27"/>
    <n v="3"/>
    <n v="8.7371999999999996"/>
    <x v="7"/>
    <x v="4"/>
  </r>
  <r>
    <x v="1754"/>
    <x v="18"/>
    <d v="2015-11-17T00:00:00"/>
    <x v="1"/>
    <s v="KH-16510"/>
    <s v="Keith Herrera"/>
    <x v="0"/>
    <s v="United States"/>
    <x v="369"/>
    <x v="2"/>
    <x v="1"/>
    <s v="FUR-BO-10004357"/>
    <s v="Furniture"/>
    <x v="0"/>
    <s v="O'Sullivan Living Dimensions 3-Shelf Bookcases"/>
    <n v="683.33199999999999"/>
    <n v="4"/>
    <n v="-40.195999999999998"/>
    <x v="4"/>
    <x v="0"/>
  </r>
  <r>
    <x v="1755"/>
    <x v="885"/>
    <d v="2016-06-06T00:00:00"/>
    <x v="0"/>
    <s v="CP-12340"/>
    <s v="Christine Phan"/>
    <x v="1"/>
    <s v="United States"/>
    <x v="2"/>
    <x v="2"/>
    <x v="1"/>
    <s v="FUR-TA-10001676"/>
    <s v="Furniture"/>
    <x v="2"/>
    <s v="Hon 61000 Series Interactive Training Tables"/>
    <n v="71.087999999999994"/>
    <n v="2"/>
    <n v="-1.7771999999999999"/>
    <x v="0"/>
    <x v="2"/>
  </r>
  <r>
    <x v="1756"/>
    <x v="574"/>
    <d v="2016-12-17T00:00:00"/>
    <x v="1"/>
    <s v="NS-18640"/>
    <s v="Noel Staavos"/>
    <x v="1"/>
    <s v="United States"/>
    <x v="13"/>
    <x v="7"/>
    <x v="2"/>
    <s v="FUR-FU-10004864"/>
    <s v="Furniture"/>
    <x v="3"/>
    <s v="Eldon 500 Class Desk Accessories"/>
    <n v="60.35"/>
    <n v="5"/>
    <n v="19.915500000000002"/>
    <x v="2"/>
    <x v="5"/>
  </r>
  <r>
    <x v="1757"/>
    <x v="886"/>
    <d v="2017-06-03T00:00:00"/>
    <x v="0"/>
    <s v="HW-14935"/>
    <s v="Helen Wasserman"/>
    <x v="1"/>
    <s v="United States"/>
    <x v="370"/>
    <x v="6"/>
    <x v="3"/>
    <s v="FUR-CH-10003746"/>
    <s v="Furniture"/>
    <x v="1"/>
    <s v="Hon 4070 Series Pagoda Round Back Stacking Chairs"/>
    <n v="1925.88"/>
    <n v="6"/>
    <n v="539.24639999999999"/>
    <x v="3"/>
    <x v="2"/>
  </r>
  <r>
    <x v="1758"/>
    <x v="646"/>
    <d v="2015-12-16T00:00:00"/>
    <x v="0"/>
    <s v="DB-12970"/>
    <s v="Darren Budd"/>
    <x v="1"/>
    <s v="United States"/>
    <x v="2"/>
    <x v="2"/>
    <x v="1"/>
    <s v="FUR-TA-10002622"/>
    <s v="Furniture"/>
    <x v="2"/>
    <s v="Bush Andora Conference Table, Maple/Graphite Gray Finish"/>
    <n v="273.56799999999998"/>
    <n v="2"/>
    <n v="10.258800000000001"/>
    <x v="3"/>
    <x v="5"/>
  </r>
  <r>
    <x v="1759"/>
    <x v="887"/>
    <d v="2015-03-22T00:00:00"/>
    <x v="2"/>
    <s v="CM-12655"/>
    <s v="Corinna Mitchell"/>
    <x v="2"/>
    <s v="United States"/>
    <x v="6"/>
    <x v="5"/>
    <x v="3"/>
    <s v="FUR-BO-10004218"/>
    <s v="Furniture"/>
    <x v="0"/>
    <s v="Bush Heritage Pine Collection 5-Shelf Bookcase, Albany Pine Finish, *Special Order"/>
    <n v="383.46559999999999"/>
    <n v="4"/>
    <n v="-67.670400000000001"/>
    <x v="0"/>
    <x v="9"/>
  </r>
  <r>
    <x v="1760"/>
    <x v="28"/>
    <d v="2016-12-10T00:00:00"/>
    <x v="0"/>
    <s v="HE-14800"/>
    <s v="Harold Engle"/>
    <x v="1"/>
    <s v="United States"/>
    <x v="19"/>
    <x v="14"/>
    <x v="2"/>
    <s v="FUR-FU-10002671"/>
    <s v="Furniture"/>
    <x v="3"/>
    <s v="Electrix 20W Halogen Replacement Bulb for Zoom-In Desk Lamp"/>
    <n v="13.4"/>
    <n v="1"/>
    <n v="6.4320000000000004"/>
    <x v="2"/>
    <x v="5"/>
  </r>
  <r>
    <x v="1761"/>
    <x v="329"/>
    <d v="2015-09-09T00:00:00"/>
    <x v="0"/>
    <s v="SW-20455"/>
    <s v="Shaun Weien"/>
    <x v="0"/>
    <s v="United States"/>
    <x v="120"/>
    <x v="35"/>
    <x v="0"/>
    <s v="FUR-TA-10001039"/>
    <s v="Furniture"/>
    <x v="2"/>
    <s v="KI Adjustable-Height Table"/>
    <n v="85.98"/>
    <n v="1"/>
    <n v="22.354800000000001"/>
    <x v="0"/>
    <x v="4"/>
  </r>
  <r>
    <x v="1762"/>
    <x v="888"/>
    <d v="2014-01-23T00:00:00"/>
    <x v="0"/>
    <s v="TB-21400"/>
    <s v="Tom Boeckenhauer"/>
    <x v="0"/>
    <s v="United States"/>
    <x v="89"/>
    <x v="1"/>
    <x v="0"/>
    <s v="FUR-FU-10001889"/>
    <s v="Furniture"/>
    <x v="3"/>
    <s v="Ultra Door Pull Handle"/>
    <n v="25.248000000000001"/>
    <n v="3"/>
    <n v="4.1028000000000002"/>
    <x v="3"/>
    <x v="8"/>
  </r>
  <r>
    <x v="1763"/>
    <x v="194"/>
    <d v="2017-03-03T00:00:00"/>
    <x v="1"/>
    <s v="DB-13060"/>
    <s v="Dave Brooks"/>
    <x v="0"/>
    <s v="United States"/>
    <x v="46"/>
    <x v="2"/>
    <x v="1"/>
    <s v="FUR-FU-10000747"/>
    <s v="Furniture"/>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05A913-E1C8-4479-9E8B-2D85D55B8C07}"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0:F65"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F8BD24-0546-42CD-808C-FCE42DE65542}"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9:F54"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items count="4">
        <item h="1" x="0"/>
        <item h="1"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10"/>
  </dataFields>
  <formats count="2">
    <format dxfId="112">
      <pivotArea outline="0" collapsedLevelsAreSubtotals="1" fieldPosition="0"/>
    </format>
    <format dxfId="113">
      <pivotArea outline="0" fieldPosition="0">
        <references count="1">
          <reference field="4294967294" count="1">
            <x v="0"/>
          </reference>
        </references>
      </pivotArea>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1DC70-4648-47C3-9EEC-4C5CD69C1C4E}"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5:F44"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10"/>
  </dataFields>
  <formats count="3">
    <format dxfId="116">
      <pivotArea outline="0" collapsedLevelsAreSubtotals="1" fieldPosition="0"/>
    </format>
    <format dxfId="115">
      <pivotArea outline="0" fieldPosition="0">
        <references count="1">
          <reference field="4294967294" count="1">
            <x v="0"/>
          </reference>
        </references>
      </pivotArea>
    </format>
    <format dxfId="114">
      <pivotArea collapsedLevelsAreSubtotals="1" fieldPosition="0">
        <references count="1">
          <reference field="18" count="0"/>
        </references>
      </pivotArea>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CB8931-BA59-4792-9BD3-D54D3A491405}"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F27"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0"/>
    </i>
    <i>
      <x v="184"/>
    </i>
    <i>
      <x v="306"/>
    </i>
    <i>
      <x v="307"/>
    </i>
    <i>
      <x v="316"/>
    </i>
    <i t="grand">
      <x/>
    </i>
  </rowItems>
  <colItems count="1">
    <i/>
  </colItems>
  <dataFields count="1">
    <dataField name="Sum of Sales" fld="15" baseField="0" baseItem="0" numFmtId="164"/>
  </dataFields>
  <formats count="1">
    <format dxfId="117">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110DB6-CF61-4066-8ED5-1C8DBC3E31CC}"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7:B48"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measureFilter="1">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h="1" x="2"/>
        <item h="1"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1">
    <i>
      <x v="1"/>
    </i>
    <i>
      <x v="3"/>
    </i>
    <i>
      <x v="4"/>
    </i>
    <i>
      <x v="10"/>
    </i>
    <i>
      <x v="24"/>
    </i>
    <i>
      <x v="26"/>
    </i>
    <i>
      <x v="34"/>
    </i>
    <i>
      <x v="41"/>
    </i>
    <i>
      <x v="44"/>
    </i>
    <i>
      <x v="47"/>
    </i>
    <i t="grand">
      <x/>
    </i>
  </rowItems>
  <colItems count="1">
    <i/>
  </colItems>
  <dataFields count="1">
    <dataField name="Sum of Sales" fld="15" baseField="0" baseItem="0" numFmtId="2"/>
  </dataFields>
  <formats count="4">
    <format dxfId="118">
      <pivotArea outline="0" collapsedLevelsAreSubtotals="1" fieldPosition="0"/>
    </format>
    <format dxfId="110">
      <pivotArea collapsedLevelsAreSubtotals="1" fieldPosition="0">
        <references count="1">
          <reference field="9" count="1">
            <x v="0"/>
          </reference>
        </references>
      </pivotArea>
    </format>
    <format dxfId="109">
      <pivotArea collapsedLevelsAreSubtotals="1" fieldPosition="0">
        <references count="1">
          <reference field="9" count="47">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108">
      <pivotArea grandRow="1" outline="0" collapsedLevelsAreSubtotals="1" fieldPosition="0"/>
    </format>
  </formats>
  <chartFormats count="11">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3"/>
          </reference>
        </references>
      </pivotArea>
    </chartFormat>
    <chartFormat chart="6" format="4">
      <pivotArea type="data" outline="0" fieldPosition="0">
        <references count="2">
          <reference field="4294967294" count="1" selected="0">
            <x v="0"/>
          </reference>
          <reference field="9" count="1" selected="0">
            <x v="8"/>
          </reference>
        </references>
      </pivotArea>
    </chartFormat>
    <chartFormat chart="6" format="5">
      <pivotArea type="data" outline="0" fieldPosition="0">
        <references count="2">
          <reference field="4294967294" count="1" selected="0">
            <x v="0"/>
          </reference>
          <reference field="9" count="1" selected="0">
            <x v="11"/>
          </reference>
        </references>
      </pivotArea>
    </chartFormat>
    <chartFormat chart="6" format="6">
      <pivotArea type="data" outline="0" fieldPosition="0">
        <references count="2">
          <reference field="4294967294" count="1" selected="0">
            <x v="0"/>
          </reference>
          <reference field="9" count="1" selected="0">
            <x v="20"/>
          </reference>
        </references>
      </pivotArea>
    </chartFormat>
    <chartFormat chart="6" format="7">
      <pivotArea type="data" outline="0" fieldPosition="0">
        <references count="2">
          <reference field="4294967294" count="1" selected="0">
            <x v="0"/>
          </reference>
          <reference field="9" count="1" selected="0">
            <x v="30"/>
          </reference>
        </references>
      </pivotArea>
    </chartFormat>
    <chartFormat chart="6" format="8">
      <pivotArea type="data" outline="0" fieldPosition="0">
        <references count="2">
          <reference field="4294967294" count="1" selected="0">
            <x v="0"/>
          </reference>
          <reference field="9" count="1" selected="0">
            <x v="32"/>
          </reference>
        </references>
      </pivotArea>
    </chartFormat>
    <chartFormat chart="6" format="9">
      <pivotArea type="data" outline="0" fieldPosition="0">
        <references count="2">
          <reference field="4294967294" count="1" selected="0">
            <x v="0"/>
          </reference>
          <reference field="9" count="1" selected="0">
            <x v="35"/>
          </reference>
        </references>
      </pivotArea>
    </chartFormat>
    <chartFormat chart="6" format="10">
      <pivotArea type="data" outline="0" fieldPosition="0">
        <references count="2">
          <reference field="4294967294" count="1" selected="0">
            <x v="0"/>
          </reference>
          <reference field="9" count="1" selected="0">
            <x v="40"/>
          </reference>
        </references>
      </pivotArea>
    </chartFormat>
    <chartFormat chart="6" format="11">
      <pivotArea type="data" outline="0" fieldPosition="0">
        <references count="2">
          <reference field="4294967294" count="1" selected="0">
            <x v="0"/>
          </reference>
          <reference field="9" count="1" selected="0">
            <x v="43"/>
          </reference>
        </references>
      </pivotArea>
    </chartFormat>
    <chartFormat chart="6" format="12">
      <pivotArea type="data" outline="0" fieldPosition="0">
        <references count="2">
          <reference field="4294967294" count="1" selected="0">
            <x v="0"/>
          </reference>
          <reference field="9" count="1" selected="0">
            <x v="4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C1A825-49BC-4D57-99FD-FC58A17A9BE2}"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33"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h="1" x="3"/>
        <item h="1" x="2"/>
        <item h="1" x="0"/>
        <item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2"/>
  </dataFields>
  <formats count="2">
    <format dxfId="120">
      <pivotArea outline="0" collapsedLevelsAreSubtotals="1" fieldPosition="0"/>
    </format>
    <format dxfId="119">
      <pivotArea collapsedLevelsAreSubtotals="1" fieldPosition="0">
        <references count="1">
          <reference field="19"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40C2D8-BD51-41BC-AA5B-C2F9AE8290A1}"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h="1" x="3"/>
        <item h="1" x="2"/>
        <item h="1" x="0"/>
        <item x="1"/>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7" baseField="0" baseItem="0" numFmtId="2"/>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E860D9-2245-4A27-94E8-476ED85B0B0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h="1" x="3"/>
        <item h="1" x="2"/>
        <item h="1"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193F24-68F2-46D7-A997-369ED2C84CF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h="1" x="3"/>
        <item h="1" x="2"/>
        <item h="1" x="0"/>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5" baseField="0" baseItem="0" numFmtId="2"/>
  </dataFields>
  <formats count="1">
    <format dxfId="1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42B0E3-521E-4F58-9335-B8831C1114D6}"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5" firstHeaderRow="0"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items count="5">
        <item h="1" x="3"/>
        <item h="1" x="2"/>
        <item h="1"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5" baseField="0" baseItem="0" numFmtId="2"/>
    <dataField name="Sum of Profit" fld="17" baseField="0" baseItem="0"/>
    <dataField name="Sum of Quantity" fld="16" baseField="0" baseItem="0"/>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E19AC6-4BDF-4785-8FCB-03E26F4FF07B}" autoFormatId="16" applyNumberFormats="0" applyBorderFormats="0" applyFontFormats="0" applyPatternFormats="0" applyAlignmentFormats="0" applyWidthHeightFormats="0">
  <queryTableRefresh nextId="21">
    <queryTableFields count="20">
      <queryTableField id="1" name="Order ID" tableColumnId="2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m" tableColumnId="19"/>
      <queryTableField id="20" name="Month Nam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F076CD-4C27-43DF-ADC5-3450D7B2E392}" sourceName="Region">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262160091">
      <items count="4">
        <i x="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469EF7B-66E4-4DF4-9B52-53BBC0272DBF}" sourceName="Segment">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26216009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A55016-0C92-4637-89D2-6FD22B1B16A0}" cache="Slicer_Region" caption="Region" columnCount="4" showCaption="0" rowHeight="241300"/>
  <slicer name="Segment" xr10:uid="{1E05D8FE-A268-49D3-AB0D-A640B43C0A00}" cache="Slicer_Segment" caption="Segment" columnCount="3"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455AF53-65B6-4505-A8EA-2C44A07D5031}" cache="Slicer_Region" caption="Region" columnCount="4" showCaption="0" style="SlicerStyleLight3" rowHeight="241300"/>
  <slicer name="Segment 1" xr10:uid="{1FFA1A2A-7CF2-4C3B-A01A-6E91816DC7A0}" cache="Slicer_Segment" caption="Segment" columnCount="3" showCaption="0"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D30FF1-26AF-4D22-ABCB-87564C1D4A7A}" name="Furniture_Data" displayName="Furniture_Data" ref="A1:T2122" tableType="queryTable" totalsRowShown="0">
  <autoFilter ref="A1:T2122" xr:uid="{54D30FF1-26AF-4D22-ABCB-87564C1D4A7A}"/>
  <tableColumns count="20">
    <tableColumn id="21" xr3:uid="{1D01A185-C451-4808-8AFE-15D0D94BED08}" uniqueName="21" name="Order ID" queryTableFieldId="1" dataDxfId="140"/>
    <tableColumn id="2" xr3:uid="{6888E893-C0C6-4D01-BA06-6722D75EAFFA}" uniqueName="2" name="Order Date" queryTableFieldId="2" dataDxfId="139"/>
    <tableColumn id="3" xr3:uid="{C0793E79-AF27-40A6-B48A-A551B8338ACB}" uniqueName="3" name="Ship Date" queryTableFieldId="3" dataDxfId="138"/>
    <tableColumn id="4" xr3:uid="{FB07C17B-0645-4AE3-B54F-1AD23E9A93FB}" uniqueName="4" name="Ship Mode" queryTableFieldId="4" dataDxfId="137"/>
    <tableColumn id="5" xr3:uid="{C3905F9D-2F66-45AF-9A4B-23BBD7C2D196}" uniqueName="5" name="Customer ID" queryTableFieldId="5" dataDxfId="136"/>
    <tableColumn id="6" xr3:uid="{D5A181D2-4DA5-40D3-8D08-72F035C479DD}" uniqueName="6" name="Customer Name" queryTableFieldId="6" dataDxfId="135"/>
    <tableColumn id="7" xr3:uid="{A6EE914A-B9F5-4F22-88F7-8BA32D1B0312}" uniqueName="7" name="Segment" queryTableFieldId="7" dataDxfId="134"/>
    <tableColumn id="8" xr3:uid="{F357E303-93A5-4A9E-8FD9-C87997C6CF2F}" uniqueName="8" name="Country" queryTableFieldId="8" dataDxfId="133"/>
    <tableColumn id="9" xr3:uid="{FEF68709-DB14-4834-9D09-E192BD8E80C3}" uniqueName="9" name="City" queryTableFieldId="9" dataDxfId="132"/>
    <tableColumn id="10" xr3:uid="{B24A631C-44C9-4660-B2E1-096FCA4D620B}" uniqueName="10" name="State" queryTableFieldId="10" dataDxfId="131"/>
    <tableColumn id="11" xr3:uid="{763F311E-B03F-4814-B847-068554380CCF}" uniqueName="11" name="Region" queryTableFieldId="11" dataDxfId="130"/>
    <tableColumn id="12" xr3:uid="{13BF2810-BF0A-43FE-8D9C-4CEDF4E5B6E6}" uniqueName="12" name="Product ID" queryTableFieldId="12" dataDxfId="129"/>
    <tableColumn id="13" xr3:uid="{B2844B44-5B4E-4999-8C36-C60DD625F007}" uniqueName="13" name="Category" queryTableFieldId="13" dataDxfId="128"/>
    <tableColumn id="14" xr3:uid="{0D027B61-E82D-4151-A3AB-6AEA8D7AB808}" uniqueName="14" name="Sub-Category" queryTableFieldId="14" dataDxfId="127"/>
    <tableColumn id="15" xr3:uid="{C44A69DB-ED5F-412B-AB62-DEAB67DFEBFE}" uniqueName="15" name="Product Name" queryTableFieldId="15" dataDxfId="126"/>
    <tableColumn id="16" xr3:uid="{E77F297C-2F01-42A4-A2C9-F76361044F80}" uniqueName="16" name="Sales" queryTableFieldId="16"/>
    <tableColumn id="17" xr3:uid="{D5EDBDCF-8A51-44DC-8BB4-F9F10E8FB742}" uniqueName="17" name="Quantity" queryTableFieldId="17"/>
    <tableColumn id="18" xr3:uid="{2D719197-A448-43B2-BD07-9A830CCDD694}" uniqueName="18" name="Profit" queryTableFieldId="18"/>
    <tableColumn id="19" xr3:uid="{F71EF86F-2393-4051-8EDE-DB18B1A5EB64}" uniqueName="19" name="Duratiom" queryTableFieldId="19" dataDxfId="125"/>
    <tableColumn id="20" xr3:uid="{44103363-7D6D-44D2-BF6B-CB6AA26572B5}" uniqueName="20" name="Month Name" queryTableFieldId="20" dataDxfId="1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F93F-F1DC-4246-BFF3-BB2D9720B873}">
  <dimension ref="A1:T2122"/>
  <sheetViews>
    <sheetView topLeftCell="A2" workbookViewId="0">
      <selection sqref="A1:T2122"/>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6.5703125" bestFit="1" customWidth="1"/>
    <col min="10" max="10" width="18.7109375" bestFit="1" customWidth="1"/>
    <col min="11" max="11" width="9.42578125" bestFit="1" customWidth="1"/>
    <col min="12" max="12" width="16.5703125" bestFit="1" customWidth="1"/>
    <col min="13" max="13" width="11.140625" bestFit="1" customWidth="1"/>
    <col min="14" max="14" width="15.140625" bestFit="1" customWidth="1"/>
    <col min="15" max="15" width="81.140625" bestFit="1" customWidth="1"/>
    <col min="16" max="16" width="10" bestFit="1" customWidth="1"/>
    <col min="17" max="17" width="11" bestFit="1" customWidth="1"/>
    <col min="18" max="18" width="10.7109375" bestFit="1" customWidth="1"/>
    <col min="19" max="19" width="11.5703125" bestFit="1" customWidth="1"/>
    <col min="20" max="20" width="1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t="s">
        <v>33</v>
      </c>
      <c r="T2" t="s">
        <v>34</v>
      </c>
    </row>
    <row r="3" spans="1:20" x14ac:dyDescent="0.25">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t="s">
        <v>33</v>
      </c>
      <c r="T3" t="s">
        <v>34</v>
      </c>
    </row>
    <row r="4" spans="1:20" x14ac:dyDescent="0.25">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t="s">
        <v>47</v>
      </c>
      <c r="T4" t="s">
        <v>48</v>
      </c>
    </row>
    <row r="5" spans="1:20" x14ac:dyDescent="0.25">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t="s">
        <v>58</v>
      </c>
      <c r="T5" t="s">
        <v>59</v>
      </c>
    </row>
    <row r="6" spans="1:20" x14ac:dyDescent="0.25">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t="s">
        <v>58</v>
      </c>
      <c r="T6" t="s">
        <v>59</v>
      </c>
    </row>
    <row r="7" spans="1:20" x14ac:dyDescent="0.25">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t="s">
        <v>70</v>
      </c>
      <c r="T7" t="s">
        <v>71</v>
      </c>
    </row>
    <row r="8" spans="1:20" x14ac:dyDescent="0.25">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t="s">
        <v>58</v>
      </c>
      <c r="T8" t="s">
        <v>77</v>
      </c>
    </row>
    <row r="9" spans="1:20" x14ac:dyDescent="0.25">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t="s">
        <v>83</v>
      </c>
      <c r="T9" t="s">
        <v>77</v>
      </c>
    </row>
    <row r="10" spans="1:20" x14ac:dyDescent="0.25">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t="s">
        <v>83</v>
      </c>
      <c r="T10" t="s">
        <v>77</v>
      </c>
    </row>
    <row r="11" spans="1:20" x14ac:dyDescent="0.25">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t="s">
        <v>70</v>
      </c>
      <c r="T11" t="s">
        <v>96</v>
      </c>
    </row>
    <row r="12" spans="1:20" x14ac:dyDescent="0.25">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t="s">
        <v>83</v>
      </c>
      <c r="T12" t="s">
        <v>96</v>
      </c>
    </row>
    <row r="13" spans="1:20" x14ac:dyDescent="0.25">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t="s">
        <v>83</v>
      </c>
      <c r="T13" t="s">
        <v>96</v>
      </c>
    </row>
    <row r="14" spans="1:20" x14ac:dyDescent="0.25">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t="s">
        <v>83</v>
      </c>
      <c r="T14" t="s">
        <v>113</v>
      </c>
    </row>
    <row r="15" spans="1:20" x14ac:dyDescent="0.25">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t="s">
        <v>83</v>
      </c>
      <c r="T15" t="s">
        <v>113</v>
      </c>
    </row>
    <row r="16" spans="1:20" x14ac:dyDescent="0.25">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t="s">
        <v>123</v>
      </c>
      <c r="T16" t="s">
        <v>59</v>
      </c>
    </row>
    <row r="17" spans="1:20" x14ac:dyDescent="0.25">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t="s">
        <v>129</v>
      </c>
      <c r="T17" t="s">
        <v>34</v>
      </c>
    </row>
    <row r="18" spans="1:20" x14ac:dyDescent="0.25">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t="s">
        <v>58</v>
      </c>
      <c r="T18" t="s">
        <v>113</v>
      </c>
    </row>
    <row r="19" spans="1:20" x14ac:dyDescent="0.25">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t="s">
        <v>129</v>
      </c>
      <c r="T19" t="s">
        <v>113</v>
      </c>
    </row>
    <row r="20" spans="1:20" x14ac:dyDescent="0.25">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t="s">
        <v>129</v>
      </c>
      <c r="T20" t="s">
        <v>113</v>
      </c>
    </row>
    <row r="21" spans="1:20" x14ac:dyDescent="0.25">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t="s">
        <v>70</v>
      </c>
      <c r="T21" t="s">
        <v>96</v>
      </c>
    </row>
    <row r="22" spans="1:20" x14ac:dyDescent="0.25">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t="s">
        <v>58</v>
      </c>
      <c r="T22" t="s">
        <v>34</v>
      </c>
    </row>
    <row r="23" spans="1:20" x14ac:dyDescent="0.25">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t="s">
        <v>70</v>
      </c>
      <c r="T23" t="s">
        <v>161</v>
      </c>
    </row>
    <row r="24" spans="1:20" x14ac:dyDescent="0.25">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t="s">
        <v>58</v>
      </c>
      <c r="T24" t="s">
        <v>169</v>
      </c>
    </row>
    <row r="25" spans="1:20" x14ac:dyDescent="0.25">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t="s">
        <v>70</v>
      </c>
      <c r="T25" t="s">
        <v>34</v>
      </c>
    </row>
    <row r="26" spans="1:20" x14ac:dyDescent="0.25">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t="s">
        <v>83</v>
      </c>
      <c r="T26" t="s">
        <v>34</v>
      </c>
    </row>
    <row r="27" spans="1:20" x14ac:dyDescent="0.25">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t="s">
        <v>58</v>
      </c>
      <c r="T27" t="s">
        <v>96</v>
      </c>
    </row>
    <row r="28" spans="1:20" x14ac:dyDescent="0.25">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t="s">
        <v>83</v>
      </c>
      <c r="T28" t="s">
        <v>195</v>
      </c>
    </row>
    <row r="29" spans="1:20" x14ac:dyDescent="0.25">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t="s">
        <v>33</v>
      </c>
      <c r="T29" t="s">
        <v>59</v>
      </c>
    </row>
    <row r="30" spans="1:20" x14ac:dyDescent="0.25">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t="s">
        <v>70</v>
      </c>
      <c r="T30" t="s">
        <v>96</v>
      </c>
    </row>
    <row r="31" spans="1:20" x14ac:dyDescent="0.25">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t="s">
        <v>58</v>
      </c>
      <c r="T31" t="s">
        <v>77</v>
      </c>
    </row>
    <row r="32" spans="1:20" x14ac:dyDescent="0.25">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t="s">
        <v>83</v>
      </c>
      <c r="T32" t="s">
        <v>34</v>
      </c>
    </row>
    <row r="33" spans="1:20" x14ac:dyDescent="0.25">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t="s">
        <v>83</v>
      </c>
      <c r="T33" t="s">
        <v>34</v>
      </c>
    </row>
    <row r="34" spans="1:20" x14ac:dyDescent="0.25">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t="s">
        <v>129</v>
      </c>
      <c r="T34" t="s">
        <v>48</v>
      </c>
    </row>
    <row r="35" spans="1:20" x14ac:dyDescent="0.25">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t="s">
        <v>70</v>
      </c>
      <c r="T35" t="s">
        <v>77</v>
      </c>
    </row>
    <row r="36" spans="1:20" x14ac:dyDescent="0.25">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t="s">
        <v>129</v>
      </c>
      <c r="T36" t="s">
        <v>48</v>
      </c>
    </row>
    <row r="37" spans="1:20" x14ac:dyDescent="0.25">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t="s">
        <v>83</v>
      </c>
      <c r="T37" t="s">
        <v>96</v>
      </c>
    </row>
    <row r="38" spans="1:20" x14ac:dyDescent="0.25">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t="s">
        <v>58</v>
      </c>
      <c r="T38" t="s">
        <v>195</v>
      </c>
    </row>
    <row r="39" spans="1:20" x14ac:dyDescent="0.25">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t="s">
        <v>83</v>
      </c>
      <c r="T39" t="s">
        <v>77</v>
      </c>
    </row>
    <row r="40" spans="1:20" x14ac:dyDescent="0.25">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t="s">
        <v>83</v>
      </c>
      <c r="T40" t="s">
        <v>253</v>
      </c>
    </row>
    <row r="41" spans="1:20" x14ac:dyDescent="0.25">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t="s">
        <v>70</v>
      </c>
      <c r="T41" t="s">
        <v>34</v>
      </c>
    </row>
    <row r="42" spans="1:20" x14ac:dyDescent="0.25">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t="s">
        <v>70</v>
      </c>
      <c r="T42" t="s">
        <v>48</v>
      </c>
    </row>
    <row r="43" spans="1:20" x14ac:dyDescent="0.25">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t="s">
        <v>70</v>
      </c>
      <c r="T43" t="s">
        <v>48</v>
      </c>
    </row>
    <row r="44" spans="1:20" x14ac:dyDescent="0.25">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t="s">
        <v>70</v>
      </c>
      <c r="T44" t="s">
        <v>253</v>
      </c>
    </row>
    <row r="45" spans="1:20" x14ac:dyDescent="0.25">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t="s">
        <v>83</v>
      </c>
      <c r="T45" t="s">
        <v>59</v>
      </c>
    </row>
    <row r="46" spans="1:20" x14ac:dyDescent="0.25">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t="s">
        <v>47</v>
      </c>
      <c r="T46" t="s">
        <v>169</v>
      </c>
    </row>
    <row r="47" spans="1:20" x14ac:dyDescent="0.25">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t="s">
        <v>33</v>
      </c>
      <c r="T47" t="s">
        <v>96</v>
      </c>
    </row>
    <row r="48" spans="1:20" x14ac:dyDescent="0.25">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t="s">
        <v>47</v>
      </c>
      <c r="T48" t="s">
        <v>253</v>
      </c>
    </row>
    <row r="49" spans="1:20" x14ac:dyDescent="0.25">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t="s">
        <v>83</v>
      </c>
      <c r="T49" t="s">
        <v>297</v>
      </c>
    </row>
    <row r="50" spans="1:20" x14ac:dyDescent="0.25">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t="s">
        <v>83</v>
      </c>
      <c r="T50" t="s">
        <v>297</v>
      </c>
    </row>
    <row r="51" spans="1:20" x14ac:dyDescent="0.25">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t="s">
        <v>58</v>
      </c>
      <c r="T51" t="s">
        <v>113</v>
      </c>
    </row>
    <row r="52" spans="1:20" x14ac:dyDescent="0.25">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t="s">
        <v>58</v>
      </c>
      <c r="T52" t="s">
        <v>113</v>
      </c>
    </row>
    <row r="53" spans="1:20" x14ac:dyDescent="0.25">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t="s">
        <v>58</v>
      </c>
      <c r="T53" t="s">
        <v>113</v>
      </c>
    </row>
    <row r="54" spans="1:20" x14ac:dyDescent="0.25">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t="s">
        <v>58</v>
      </c>
      <c r="T54" t="s">
        <v>59</v>
      </c>
    </row>
    <row r="55" spans="1:20" x14ac:dyDescent="0.25">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t="s">
        <v>58</v>
      </c>
      <c r="T55" t="s">
        <v>59</v>
      </c>
    </row>
    <row r="56" spans="1:20" x14ac:dyDescent="0.25">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t="s">
        <v>58</v>
      </c>
      <c r="T56" t="s">
        <v>59</v>
      </c>
    </row>
    <row r="57" spans="1:20" x14ac:dyDescent="0.25">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t="s">
        <v>58</v>
      </c>
      <c r="T57" t="s">
        <v>59</v>
      </c>
    </row>
    <row r="58" spans="1:20" x14ac:dyDescent="0.25">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t="s">
        <v>58</v>
      </c>
      <c r="T58" t="s">
        <v>59</v>
      </c>
    </row>
    <row r="59" spans="1:20" x14ac:dyDescent="0.25">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t="s">
        <v>58</v>
      </c>
      <c r="T59" t="s">
        <v>96</v>
      </c>
    </row>
    <row r="60" spans="1:20" x14ac:dyDescent="0.25">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t="s">
        <v>129</v>
      </c>
      <c r="T60" t="s">
        <v>34</v>
      </c>
    </row>
    <row r="61" spans="1:20" x14ac:dyDescent="0.25">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t="s">
        <v>123</v>
      </c>
      <c r="T61" t="s">
        <v>71</v>
      </c>
    </row>
    <row r="62" spans="1:20" x14ac:dyDescent="0.25">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t="s">
        <v>83</v>
      </c>
      <c r="T62" t="s">
        <v>34</v>
      </c>
    </row>
    <row r="63" spans="1:20" x14ac:dyDescent="0.25">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t="s">
        <v>83</v>
      </c>
      <c r="T63" t="s">
        <v>34</v>
      </c>
    </row>
    <row r="64" spans="1:20" x14ac:dyDescent="0.25">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t="s">
        <v>70</v>
      </c>
      <c r="T64" t="s">
        <v>96</v>
      </c>
    </row>
    <row r="65" spans="1:20" x14ac:dyDescent="0.25">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t="s">
        <v>70</v>
      </c>
      <c r="T65" t="s">
        <v>96</v>
      </c>
    </row>
    <row r="66" spans="1:20" x14ac:dyDescent="0.25">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t="s">
        <v>70</v>
      </c>
      <c r="T66" t="s">
        <v>96</v>
      </c>
    </row>
    <row r="67" spans="1:20" x14ac:dyDescent="0.25">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t="s">
        <v>129</v>
      </c>
      <c r="T67" t="s">
        <v>48</v>
      </c>
    </row>
    <row r="68" spans="1:20" x14ac:dyDescent="0.25">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t="s">
        <v>83</v>
      </c>
      <c r="T68" t="s">
        <v>34</v>
      </c>
    </row>
    <row r="69" spans="1:20" x14ac:dyDescent="0.25">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t="s">
        <v>58</v>
      </c>
      <c r="T69" t="s">
        <v>161</v>
      </c>
    </row>
    <row r="70" spans="1:20" x14ac:dyDescent="0.25">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t="s">
        <v>70</v>
      </c>
      <c r="T70" t="s">
        <v>77</v>
      </c>
    </row>
    <row r="71" spans="1:20" x14ac:dyDescent="0.25">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t="s">
        <v>70</v>
      </c>
      <c r="T71" t="s">
        <v>77</v>
      </c>
    </row>
    <row r="72" spans="1:20" x14ac:dyDescent="0.25">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t="s">
        <v>70</v>
      </c>
      <c r="T72" t="s">
        <v>77</v>
      </c>
    </row>
    <row r="73" spans="1:20" x14ac:dyDescent="0.25">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t="s">
        <v>129</v>
      </c>
      <c r="T73" t="s">
        <v>77</v>
      </c>
    </row>
    <row r="74" spans="1:20" x14ac:dyDescent="0.25">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t="s">
        <v>58</v>
      </c>
      <c r="T74" t="s">
        <v>34</v>
      </c>
    </row>
    <row r="75" spans="1:20" x14ac:dyDescent="0.25">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t="s">
        <v>70</v>
      </c>
      <c r="T75" t="s">
        <v>34</v>
      </c>
    </row>
    <row r="76" spans="1:20" x14ac:dyDescent="0.25">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t="s">
        <v>70</v>
      </c>
      <c r="T76" t="s">
        <v>253</v>
      </c>
    </row>
    <row r="77" spans="1:20" x14ac:dyDescent="0.25">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t="s">
        <v>58</v>
      </c>
      <c r="T77" t="s">
        <v>71</v>
      </c>
    </row>
    <row r="78" spans="1:20" x14ac:dyDescent="0.25">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t="s">
        <v>58</v>
      </c>
      <c r="T78" t="s">
        <v>113</v>
      </c>
    </row>
    <row r="79" spans="1:20" x14ac:dyDescent="0.25">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t="s">
        <v>129</v>
      </c>
      <c r="T79" t="s">
        <v>77</v>
      </c>
    </row>
    <row r="80" spans="1:20" x14ac:dyDescent="0.25">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t="s">
        <v>129</v>
      </c>
      <c r="T80" t="s">
        <v>77</v>
      </c>
    </row>
    <row r="81" spans="1:20" x14ac:dyDescent="0.25">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t="s">
        <v>430</v>
      </c>
      <c r="T81" t="s">
        <v>48</v>
      </c>
    </row>
    <row r="82" spans="1:20" x14ac:dyDescent="0.25">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t="s">
        <v>58</v>
      </c>
      <c r="T82" t="s">
        <v>253</v>
      </c>
    </row>
    <row r="83" spans="1:20" x14ac:dyDescent="0.25">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t="s">
        <v>58</v>
      </c>
      <c r="T83" t="s">
        <v>34</v>
      </c>
    </row>
    <row r="84" spans="1:20" x14ac:dyDescent="0.25">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t="s">
        <v>83</v>
      </c>
      <c r="T84" t="s">
        <v>96</v>
      </c>
    </row>
    <row r="85" spans="1:20" x14ac:dyDescent="0.25">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t="s">
        <v>70</v>
      </c>
      <c r="T85" t="s">
        <v>77</v>
      </c>
    </row>
    <row r="86" spans="1:20" x14ac:dyDescent="0.25">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t="s">
        <v>83</v>
      </c>
      <c r="T86" t="s">
        <v>96</v>
      </c>
    </row>
    <row r="87" spans="1:20" x14ac:dyDescent="0.25">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t="s">
        <v>83</v>
      </c>
      <c r="T87" t="s">
        <v>96</v>
      </c>
    </row>
    <row r="88" spans="1:20" x14ac:dyDescent="0.25">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t="s">
        <v>83</v>
      </c>
      <c r="T88" t="s">
        <v>96</v>
      </c>
    </row>
    <row r="89" spans="1:20" x14ac:dyDescent="0.25">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t="s">
        <v>83</v>
      </c>
      <c r="T89" t="s">
        <v>34</v>
      </c>
    </row>
    <row r="90" spans="1:20" x14ac:dyDescent="0.25">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t="s">
        <v>83</v>
      </c>
      <c r="T90" t="s">
        <v>113</v>
      </c>
    </row>
    <row r="91" spans="1:20" x14ac:dyDescent="0.25">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t="s">
        <v>83</v>
      </c>
      <c r="T91" t="s">
        <v>48</v>
      </c>
    </row>
    <row r="92" spans="1:20" x14ac:dyDescent="0.25">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t="s">
        <v>70</v>
      </c>
      <c r="T92" t="s">
        <v>253</v>
      </c>
    </row>
    <row r="93" spans="1:20" x14ac:dyDescent="0.25">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t="s">
        <v>33</v>
      </c>
      <c r="T93" t="s">
        <v>34</v>
      </c>
    </row>
    <row r="94" spans="1:20" x14ac:dyDescent="0.25">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t="s">
        <v>33</v>
      </c>
      <c r="T94" t="s">
        <v>169</v>
      </c>
    </row>
    <row r="95" spans="1:20" x14ac:dyDescent="0.25">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t="s">
        <v>70</v>
      </c>
      <c r="T95" t="s">
        <v>77</v>
      </c>
    </row>
    <row r="96" spans="1:20" x14ac:dyDescent="0.25">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t="s">
        <v>70</v>
      </c>
      <c r="T96" t="s">
        <v>77</v>
      </c>
    </row>
    <row r="97" spans="1:20" x14ac:dyDescent="0.25">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t="s">
        <v>58</v>
      </c>
      <c r="T97" t="s">
        <v>195</v>
      </c>
    </row>
    <row r="98" spans="1:20" x14ac:dyDescent="0.25">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t="s">
        <v>83</v>
      </c>
      <c r="T98" t="s">
        <v>48</v>
      </c>
    </row>
    <row r="99" spans="1:20" x14ac:dyDescent="0.25">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t="s">
        <v>129</v>
      </c>
      <c r="T99" t="s">
        <v>297</v>
      </c>
    </row>
    <row r="100" spans="1:20" x14ac:dyDescent="0.25">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t="s">
        <v>58</v>
      </c>
      <c r="T100" t="s">
        <v>77</v>
      </c>
    </row>
    <row r="101" spans="1:20" x14ac:dyDescent="0.25">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t="s">
        <v>47</v>
      </c>
      <c r="T101" t="s">
        <v>113</v>
      </c>
    </row>
    <row r="102" spans="1:20" x14ac:dyDescent="0.25">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t="s">
        <v>47</v>
      </c>
      <c r="T102" t="s">
        <v>113</v>
      </c>
    </row>
    <row r="103" spans="1:20" x14ac:dyDescent="0.25">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t="s">
        <v>47</v>
      </c>
      <c r="T103" t="s">
        <v>169</v>
      </c>
    </row>
    <row r="104" spans="1:20" x14ac:dyDescent="0.25">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t="s">
        <v>83</v>
      </c>
      <c r="T104" t="s">
        <v>195</v>
      </c>
    </row>
    <row r="105" spans="1:20" x14ac:dyDescent="0.25">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t="s">
        <v>70</v>
      </c>
      <c r="T105" t="s">
        <v>34</v>
      </c>
    </row>
    <row r="106" spans="1:20" x14ac:dyDescent="0.25">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t="s">
        <v>129</v>
      </c>
      <c r="T106" t="s">
        <v>48</v>
      </c>
    </row>
    <row r="107" spans="1:20" x14ac:dyDescent="0.25">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t="s">
        <v>33</v>
      </c>
      <c r="T107" t="s">
        <v>59</v>
      </c>
    </row>
    <row r="108" spans="1:20" x14ac:dyDescent="0.25">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t="s">
        <v>33</v>
      </c>
      <c r="T108" t="s">
        <v>195</v>
      </c>
    </row>
    <row r="109" spans="1:20" x14ac:dyDescent="0.25">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t="s">
        <v>129</v>
      </c>
      <c r="T109" t="s">
        <v>71</v>
      </c>
    </row>
    <row r="110" spans="1:20" x14ac:dyDescent="0.25">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t="s">
        <v>129</v>
      </c>
      <c r="T110" t="s">
        <v>71</v>
      </c>
    </row>
    <row r="111" spans="1:20" x14ac:dyDescent="0.25">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t="s">
        <v>129</v>
      </c>
      <c r="T111" t="s">
        <v>71</v>
      </c>
    </row>
    <row r="112" spans="1:20" x14ac:dyDescent="0.25">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t="s">
        <v>58</v>
      </c>
      <c r="T112" t="s">
        <v>161</v>
      </c>
    </row>
    <row r="113" spans="1:20" x14ac:dyDescent="0.25">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t="s">
        <v>123</v>
      </c>
      <c r="T113" t="s">
        <v>34</v>
      </c>
    </row>
    <row r="114" spans="1:20" x14ac:dyDescent="0.25">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t="s">
        <v>70</v>
      </c>
      <c r="T114" t="s">
        <v>169</v>
      </c>
    </row>
    <row r="115" spans="1:20" x14ac:dyDescent="0.25">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t="s">
        <v>58</v>
      </c>
      <c r="T115" t="s">
        <v>48</v>
      </c>
    </row>
    <row r="116" spans="1:20" x14ac:dyDescent="0.25">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t="s">
        <v>58</v>
      </c>
      <c r="T116" t="s">
        <v>48</v>
      </c>
    </row>
    <row r="117" spans="1:20" x14ac:dyDescent="0.25">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t="s">
        <v>70</v>
      </c>
      <c r="T117" t="s">
        <v>34</v>
      </c>
    </row>
    <row r="118" spans="1:20" x14ac:dyDescent="0.25">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t="s">
        <v>83</v>
      </c>
      <c r="T118" t="s">
        <v>77</v>
      </c>
    </row>
    <row r="119" spans="1:20" x14ac:dyDescent="0.25">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t="s">
        <v>83</v>
      </c>
      <c r="T119" t="s">
        <v>96</v>
      </c>
    </row>
    <row r="120" spans="1:20" x14ac:dyDescent="0.25">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t="s">
        <v>58</v>
      </c>
      <c r="T120" t="s">
        <v>161</v>
      </c>
    </row>
    <row r="121" spans="1:20" x14ac:dyDescent="0.25">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t="s">
        <v>70</v>
      </c>
      <c r="T121" t="s">
        <v>113</v>
      </c>
    </row>
    <row r="122" spans="1:20" x14ac:dyDescent="0.25">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t="s">
        <v>123</v>
      </c>
      <c r="T122" t="s">
        <v>77</v>
      </c>
    </row>
    <row r="123" spans="1:20" x14ac:dyDescent="0.25">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t="s">
        <v>58</v>
      </c>
      <c r="T123" t="s">
        <v>59</v>
      </c>
    </row>
    <row r="124" spans="1:20" x14ac:dyDescent="0.25">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t="s">
        <v>70</v>
      </c>
      <c r="T124" t="s">
        <v>34</v>
      </c>
    </row>
    <row r="125" spans="1:20" x14ac:dyDescent="0.25">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t="s">
        <v>83</v>
      </c>
      <c r="T125" t="s">
        <v>77</v>
      </c>
    </row>
    <row r="126" spans="1:20" x14ac:dyDescent="0.25">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t="s">
        <v>47</v>
      </c>
      <c r="T126" t="s">
        <v>48</v>
      </c>
    </row>
    <row r="127" spans="1:20" x14ac:dyDescent="0.25">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t="s">
        <v>129</v>
      </c>
      <c r="T127" t="s">
        <v>71</v>
      </c>
    </row>
    <row r="128" spans="1:20" x14ac:dyDescent="0.25">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t="s">
        <v>129</v>
      </c>
      <c r="T128" t="s">
        <v>71</v>
      </c>
    </row>
    <row r="129" spans="1:20" x14ac:dyDescent="0.25">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t="s">
        <v>47</v>
      </c>
      <c r="T129" t="s">
        <v>253</v>
      </c>
    </row>
    <row r="130" spans="1:20" x14ac:dyDescent="0.25">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t="s">
        <v>83</v>
      </c>
      <c r="T130" t="s">
        <v>195</v>
      </c>
    </row>
    <row r="131" spans="1:20" x14ac:dyDescent="0.25">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t="s">
        <v>58</v>
      </c>
      <c r="T131" t="s">
        <v>253</v>
      </c>
    </row>
    <row r="132" spans="1:20" x14ac:dyDescent="0.25">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t="s">
        <v>58</v>
      </c>
      <c r="T132" t="s">
        <v>253</v>
      </c>
    </row>
    <row r="133" spans="1:20" x14ac:dyDescent="0.25">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t="s">
        <v>58</v>
      </c>
      <c r="T133" t="s">
        <v>253</v>
      </c>
    </row>
    <row r="134" spans="1:20" x14ac:dyDescent="0.25">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t="s">
        <v>83</v>
      </c>
      <c r="T134" t="s">
        <v>34</v>
      </c>
    </row>
    <row r="135" spans="1:20" x14ac:dyDescent="0.25">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t="s">
        <v>83</v>
      </c>
      <c r="T135" t="s">
        <v>77</v>
      </c>
    </row>
    <row r="136" spans="1:20" x14ac:dyDescent="0.25">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t="s">
        <v>58</v>
      </c>
      <c r="T136" t="s">
        <v>48</v>
      </c>
    </row>
    <row r="137" spans="1:20" x14ac:dyDescent="0.25">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t="s">
        <v>58</v>
      </c>
      <c r="T137" t="s">
        <v>161</v>
      </c>
    </row>
    <row r="138" spans="1:20" x14ac:dyDescent="0.25">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t="s">
        <v>83</v>
      </c>
      <c r="T138" t="s">
        <v>96</v>
      </c>
    </row>
    <row r="139" spans="1:20" x14ac:dyDescent="0.25">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t="s">
        <v>58</v>
      </c>
      <c r="T139" t="s">
        <v>96</v>
      </c>
    </row>
    <row r="140" spans="1:20" x14ac:dyDescent="0.25">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t="s">
        <v>430</v>
      </c>
      <c r="T140" t="s">
        <v>77</v>
      </c>
    </row>
    <row r="141" spans="1:20" x14ac:dyDescent="0.25">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t="s">
        <v>83</v>
      </c>
      <c r="T141" t="s">
        <v>253</v>
      </c>
    </row>
    <row r="142" spans="1:20" x14ac:dyDescent="0.25">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t="s">
        <v>70</v>
      </c>
      <c r="T142" t="s">
        <v>96</v>
      </c>
    </row>
    <row r="143" spans="1:20" x14ac:dyDescent="0.25">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t="s">
        <v>83</v>
      </c>
      <c r="T143" t="s">
        <v>59</v>
      </c>
    </row>
    <row r="144" spans="1:20" x14ac:dyDescent="0.25">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t="s">
        <v>83</v>
      </c>
      <c r="T144" t="s">
        <v>59</v>
      </c>
    </row>
    <row r="145" spans="1:20" x14ac:dyDescent="0.25">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t="s">
        <v>58</v>
      </c>
      <c r="T145" t="s">
        <v>195</v>
      </c>
    </row>
    <row r="146" spans="1:20" x14ac:dyDescent="0.25">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t="s">
        <v>83</v>
      </c>
      <c r="T146" t="s">
        <v>96</v>
      </c>
    </row>
    <row r="147" spans="1:20" x14ac:dyDescent="0.25">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t="s">
        <v>70</v>
      </c>
      <c r="T147" t="s">
        <v>59</v>
      </c>
    </row>
    <row r="148" spans="1:20" x14ac:dyDescent="0.25">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t="s">
        <v>129</v>
      </c>
      <c r="T148" t="s">
        <v>77</v>
      </c>
    </row>
    <row r="149" spans="1:20" x14ac:dyDescent="0.25">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t="s">
        <v>83</v>
      </c>
      <c r="T149" t="s">
        <v>34</v>
      </c>
    </row>
    <row r="150" spans="1:20" x14ac:dyDescent="0.25">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t="s">
        <v>58</v>
      </c>
      <c r="T150" t="s">
        <v>113</v>
      </c>
    </row>
    <row r="151" spans="1:20" x14ac:dyDescent="0.25">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t="s">
        <v>70</v>
      </c>
      <c r="T151" t="s">
        <v>96</v>
      </c>
    </row>
    <row r="152" spans="1:20" x14ac:dyDescent="0.25">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t="s">
        <v>33</v>
      </c>
      <c r="T152" t="s">
        <v>169</v>
      </c>
    </row>
    <row r="153" spans="1:20" x14ac:dyDescent="0.25">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t="s">
        <v>58</v>
      </c>
      <c r="T153" t="s">
        <v>77</v>
      </c>
    </row>
    <row r="154" spans="1:20" x14ac:dyDescent="0.25">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t="s">
        <v>58</v>
      </c>
      <c r="T154" t="s">
        <v>59</v>
      </c>
    </row>
    <row r="155" spans="1:20" x14ac:dyDescent="0.25">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t="s">
        <v>83</v>
      </c>
      <c r="T155" t="s">
        <v>96</v>
      </c>
    </row>
    <row r="156" spans="1:20" x14ac:dyDescent="0.25">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t="s">
        <v>129</v>
      </c>
      <c r="T156" t="s">
        <v>48</v>
      </c>
    </row>
    <row r="157" spans="1:20" x14ac:dyDescent="0.25">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t="s">
        <v>33</v>
      </c>
      <c r="T157" t="s">
        <v>96</v>
      </c>
    </row>
    <row r="158" spans="1:20" x14ac:dyDescent="0.25">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t="s">
        <v>33</v>
      </c>
      <c r="T158" t="s">
        <v>96</v>
      </c>
    </row>
    <row r="159" spans="1:20" x14ac:dyDescent="0.25">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t="s">
        <v>83</v>
      </c>
      <c r="T159" t="s">
        <v>169</v>
      </c>
    </row>
    <row r="160" spans="1:20" x14ac:dyDescent="0.25">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t="s">
        <v>430</v>
      </c>
      <c r="T160" t="s">
        <v>161</v>
      </c>
    </row>
    <row r="161" spans="1:20" x14ac:dyDescent="0.25">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t="s">
        <v>83</v>
      </c>
      <c r="T161" t="s">
        <v>48</v>
      </c>
    </row>
    <row r="162" spans="1:20" x14ac:dyDescent="0.25">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t="s">
        <v>58</v>
      </c>
      <c r="T162" t="s">
        <v>96</v>
      </c>
    </row>
    <row r="163" spans="1:20" x14ac:dyDescent="0.25">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t="s">
        <v>83</v>
      </c>
      <c r="T163" t="s">
        <v>77</v>
      </c>
    </row>
    <row r="164" spans="1:20" x14ac:dyDescent="0.25">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t="s">
        <v>129</v>
      </c>
      <c r="T164" t="s">
        <v>161</v>
      </c>
    </row>
    <row r="165" spans="1:20" x14ac:dyDescent="0.25">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t="s">
        <v>58</v>
      </c>
      <c r="T165" t="s">
        <v>161</v>
      </c>
    </row>
    <row r="166" spans="1:20" x14ac:dyDescent="0.25">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t="s">
        <v>129</v>
      </c>
      <c r="T166" t="s">
        <v>169</v>
      </c>
    </row>
    <row r="167" spans="1:20" x14ac:dyDescent="0.25">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t="s">
        <v>70</v>
      </c>
      <c r="T167" t="s">
        <v>253</v>
      </c>
    </row>
    <row r="168" spans="1:20" x14ac:dyDescent="0.25">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t="s">
        <v>33</v>
      </c>
      <c r="T168" t="s">
        <v>48</v>
      </c>
    </row>
    <row r="169" spans="1:20" x14ac:dyDescent="0.25">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t="s">
        <v>83</v>
      </c>
      <c r="T169" t="s">
        <v>96</v>
      </c>
    </row>
    <row r="170" spans="1:20" x14ac:dyDescent="0.25">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t="s">
        <v>83</v>
      </c>
      <c r="T170" t="s">
        <v>59</v>
      </c>
    </row>
    <row r="171" spans="1:20" x14ac:dyDescent="0.25">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t="s">
        <v>129</v>
      </c>
      <c r="T171" t="s">
        <v>34</v>
      </c>
    </row>
    <row r="172" spans="1:20" x14ac:dyDescent="0.25">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t="s">
        <v>33</v>
      </c>
      <c r="T172" t="s">
        <v>297</v>
      </c>
    </row>
    <row r="173" spans="1:20" x14ac:dyDescent="0.25">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t="s">
        <v>70</v>
      </c>
      <c r="T173" t="s">
        <v>113</v>
      </c>
    </row>
    <row r="174" spans="1:20" x14ac:dyDescent="0.25">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t="s">
        <v>70</v>
      </c>
      <c r="T174" t="s">
        <v>297</v>
      </c>
    </row>
    <row r="175" spans="1:20" x14ac:dyDescent="0.25">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t="s">
        <v>70</v>
      </c>
      <c r="T175" t="s">
        <v>48</v>
      </c>
    </row>
    <row r="176" spans="1:20" x14ac:dyDescent="0.25">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t="s">
        <v>430</v>
      </c>
      <c r="T176" t="s">
        <v>161</v>
      </c>
    </row>
    <row r="177" spans="1:20" x14ac:dyDescent="0.25">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t="s">
        <v>83</v>
      </c>
      <c r="T177" t="s">
        <v>59</v>
      </c>
    </row>
    <row r="178" spans="1:20" x14ac:dyDescent="0.25">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t="s">
        <v>58</v>
      </c>
      <c r="T178" t="s">
        <v>59</v>
      </c>
    </row>
    <row r="179" spans="1:20" x14ac:dyDescent="0.25">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t="s">
        <v>58</v>
      </c>
      <c r="T179" t="s">
        <v>34</v>
      </c>
    </row>
    <row r="180" spans="1:20" x14ac:dyDescent="0.25">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t="s">
        <v>83</v>
      </c>
      <c r="T180" t="s">
        <v>48</v>
      </c>
    </row>
    <row r="181" spans="1:20" x14ac:dyDescent="0.25">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t="s">
        <v>58</v>
      </c>
      <c r="T181" t="s">
        <v>169</v>
      </c>
    </row>
    <row r="182" spans="1:20" x14ac:dyDescent="0.25">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t="s">
        <v>58</v>
      </c>
      <c r="T182" t="s">
        <v>297</v>
      </c>
    </row>
    <row r="183" spans="1:20" x14ac:dyDescent="0.25">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t="s">
        <v>58</v>
      </c>
      <c r="T183" t="s">
        <v>169</v>
      </c>
    </row>
    <row r="184" spans="1:20" x14ac:dyDescent="0.25">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t="s">
        <v>83</v>
      </c>
      <c r="T184" t="s">
        <v>169</v>
      </c>
    </row>
    <row r="185" spans="1:20" x14ac:dyDescent="0.25">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t="s">
        <v>70</v>
      </c>
      <c r="T185" t="s">
        <v>34</v>
      </c>
    </row>
    <row r="186" spans="1:20" x14ac:dyDescent="0.25">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t="s">
        <v>70</v>
      </c>
      <c r="T186" t="s">
        <v>48</v>
      </c>
    </row>
    <row r="187" spans="1:20" x14ac:dyDescent="0.25">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t="s">
        <v>58</v>
      </c>
      <c r="T187" t="s">
        <v>113</v>
      </c>
    </row>
    <row r="188" spans="1:20" x14ac:dyDescent="0.25">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t="s">
        <v>83</v>
      </c>
      <c r="T188" t="s">
        <v>96</v>
      </c>
    </row>
    <row r="189" spans="1:20" x14ac:dyDescent="0.25">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t="s">
        <v>47</v>
      </c>
      <c r="T189" t="s">
        <v>161</v>
      </c>
    </row>
    <row r="190" spans="1:20" x14ac:dyDescent="0.25">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t="s">
        <v>70</v>
      </c>
      <c r="T190" t="s">
        <v>34</v>
      </c>
    </row>
    <row r="191" spans="1:20" x14ac:dyDescent="0.25">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t="s">
        <v>129</v>
      </c>
      <c r="T191" t="s">
        <v>59</v>
      </c>
    </row>
    <row r="192" spans="1:20" x14ac:dyDescent="0.25">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t="s">
        <v>129</v>
      </c>
      <c r="T192" t="s">
        <v>59</v>
      </c>
    </row>
    <row r="193" spans="1:20" x14ac:dyDescent="0.25">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t="s">
        <v>47</v>
      </c>
      <c r="T193" t="s">
        <v>96</v>
      </c>
    </row>
    <row r="194" spans="1:20" x14ac:dyDescent="0.25">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t="s">
        <v>70</v>
      </c>
      <c r="T194" t="s">
        <v>71</v>
      </c>
    </row>
    <row r="195" spans="1:20" x14ac:dyDescent="0.25">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t="s">
        <v>83</v>
      </c>
      <c r="T195" t="s">
        <v>34</v>
      </c>
    </row>
    <row r="196" spans="1:20" x14ac:dyDescent="0.25">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t="s">
        <v>83</v>
      </c>
      <c r="T196" t="s">
        <v>34</v>
      </c>
    </row>
    <row r="197" spans="1:20" x14ac:dyDescent="0.25">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t="s">
        <v>83</v>
      </c>
      <c r="T197" t="s">
        <v>34</v>
      </c>
    </row>
    <row r="198" spans="1:20" x14ac:dyDescent="0.25">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t="s">
        <v>83</v>
      </c>
      <c r="T198" t="s">
        <v>113</v>
      </c>
    </row>
    <row r="199" spans="1:20" x14ac:dyDescent="0.25">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t="s">
        <v>83</v>
      </c>
      <c r="T199" t="s">
        <v>96</v>
      </c>
    </row>
    <row r="200" spans="1:20" x14ac:dyDescent="0.25">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t="s">
        <v>430</v>
      </c>
      <c r="T200" t="s">
        <v>77</v>
      </c>
    </row>
    <row r="201" spans="1:20" x14ac:dyDescent="0.25">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t="s">
        <v>58</v>
      </c>
      <c r="T201" t="s">
        <v>34</v>
      </c>
    </row>
    <row r="202" spans="1:20" x14ac:dyDescent="0.25">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t="s">
        <v>70</v>
      </c>
      <c r="T202" t="s">
        <v>169</v>
      </c>
    </row>
    <row r="203" spans="1:20" x14ac:dyDescent="0.25">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t="s">
        <v>58</v>
      </c>
      <c r="T203" t="s">
        <v>48</v>
      </c>
    </row>
    <row r="204" spans="1:20" x14ac:dyDescent="0.25">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t="s">
        <v>33</v>
      </c>
      <c r="T204" t="s">
        <v>34</v>
      </c>
    </row>
    <row r="205" spans="1:20" x14ac:dyDescent="0.25">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t="s">
        <v>58</v>
      </c>
      <c r="T205" t="s">
        <v>161</v>
      </c>
    </row>
    <row r="206" spans="1:20" x14ac:dyDescent="0.25">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t="s">
        <v>70</v>
      </c>
      <c r="T206" t="s">
        <v>195</v>
      </c>
    </row>
    <row r="207" spans="1:20" x14ac:dyDescent="0.25">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t="s">
        <v>129</v>
      </c>
      <c r="T207" t="s">
        <v>48</v>
      </c>
    </row>
    <row r="208" spans="1:20" x14ac:dyDescent="0.25">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t="s">
        <v>129</v>
      </c>
      <c r="T208" t="s">
        <v>48</v>
      </c>
    </row>
    <row r="209" spans="1:20" x14ac:dyDescent="0.25">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t="s">
        <v>430</v>
      </c>
      <c r="T209" t="s">
        <v>71</v>
      </c>
    </row>
    <row r="210" spans="1:20" x14ac:dyDescent="0.25">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t="s">
        <v>70</v>
      </c>
      <c r="T210" t="s">
        <v>34</v>
      </c>
    </row>
    <row r="211" spans="1:20" x14ac:dyDescent="0.25">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t="s">
        <v>83</v>
      </c>
      <c r="T211" t="s">
        <v>59</v>
      </c>
    </row>
    <row r="212" spans="1:20" x14ac:dyDescent="0.25">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t="s">
        <v>33</v>
      </c>
      <c r="T212" t="s">
        <v>96</v>
      </c>
    </row>
    <row r="213" spans="1:20" x14ac:dyDescent="0.25">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t="s">
        <v>83</v>
      </c>
      <c r="T213" t="s">
        <v>71</v>
      </c>
    </row>
    <row r="214" spans="1:20" x14ac:dyDescent="0.25">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t="s">
        <v>83</v>
      </c>
      <c r="T214" t="s">
        <v>71</v>
      </c>
    </row>
    <row r="215" spans="1:20" x14ac:dyDescent="0.25">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t="s">
        <v>129</v>
      </c>
      <c r="T215" t="s">
        <v>113</v>
      </c>
    </row>
    <row r="216" spans="1:20" x14ac:dyDescent="0.25">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t="s">
        <v>83</v>
      </c>
      <c r="T216" t="s">
        <v>71</v>
      </c>
    </row>
    <row r="217" spans="1:20" x14ac:dyDescent="0.25">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t="s">
        <v>83</v>
      </c>
      <c r="T217" t="s">
        <v>71</v>
      </c>
    </row>
    <row r="218" spans="1:20" x14ac:dyDescent="0.25">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t="s">
        <v>83</v>
      </c>
      <c r="T218" t="s">
        <v>113</v>
      </c>
    </row>
    <row r="219" spans="1:20" x14ac:dyDescent="0.25">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t="s">
        <v>83</v>
      </c>
      <c r="T219" t="s">
        <v>195</v>
      </c>
    </row>
    <row r="220" spans="1:20" x14ac:dyDescent="0.25">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t="s">
        <v>33</v>
      </c>
      <c r="T220" t="s">
        <v>77</v>
      </c>
    </row>
    <row r="221" spans="1:20" x14ac:dyDescent="0.25">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t="s">
        <v>83</v>
      </c>
      <c r="T221" t="s">
        <v>48</v>
      </c>
    </row>
    <row r="222" spans="1:20" x14ac:dyDescent="0.25">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t="s">
        <v>58</v>
      </c>
      <c r="T222" t="s">
        <v>195</v>
      </c>
    </row>
    <row r="223" spans="1:20" x14ac:dyDescent="0.25">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t="s">
        <v>70</v>
      </c>
      <c r="T223" t="s">
        <v>71</v>
      </c>
    </row>
    <row r="224" spans="1:20" x14ac:dyDescent="0.25">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t="s">
        <v>70</v>
      </c>
      <c r="T224" t="s">
        <v>71</v>
      </c>
    </row>
    <row r="225" spans="1:20" x14ac:dyDescent="0.25">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t="s">
        <v>83</v>
      </c>
      <c r="T225" t="s">
        <v>113</v>
      </c>
    </row>
    <row r="226" spans="1:20" x14ac:dyDescent="0.25">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t="s">
        <v>129</v>
      </c>
      <c r="T226" t="s">
        <v>195</v>
      </c>
    </row>
    <row r="227" spans="1:20" x14ac:dyDescent="0.25">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t="s">
        <v>123</v>
      </c>
      <c r="T227" t="s">
        <v>48</v>
      </c>
    </row>
    <row r="228" spans="1:20" x14ac:dyDescent="0.25">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t="s">
        <v>58</v>
      </c>
      <c r="T228" t="s">
        <v>34</v>
      </c>
    </row>
    <row r="229" spans="1:20" x14ac:dyDescent="0.25">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t="s">
        <v>83</v>
      </c>
      <c r="T229" t="s">
        <v>195</v>
      </c>
    </row>
    <row r="230" spans="1:20" x14ac:dyDescent="0.25">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t="s">
        <v>129</v>
      </c>
      <c r="T230" t="s">
        <v>59</v>
      </c>
    </row>
    <row r="231" spans="1:20" x14ac:dyDescent="0.25">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t="s">
        <v>33</v>
      </c>
      <c r="T231" t="s">
        <v>59</v>
      </c>
    </row>
    <row r="232" spans="1:20" x14ac:dyDescent="0.25">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t="s">
        <v>33</v>
      </c>
      <c r="T232" t="s">
        <v>59</v>
      </c>
    </row>
    <row r="233" spans="1:20" x14ac:dyDescent="0.25">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t="s">
        <v>58</v>
      </c>
      <c r="T233" t="s">
        <v>34</v>
      </c>
    </row>
    <row r="234" spans="1:20" x14ac:dyDescent="0.25">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t="s">
        <v>58</v>
      </c>
      <c r="T234" t="s">
        <v>96</v>
      </c>
    </row>
    <row r="235" spans="1:20" x14ac:dyDescent="0.25">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t="s">
        <v>129</v>
      </c>
      <c r="T235" t="s">
        <v>169</v>
      </c>
    </row>
    <row r="236" spans="1:20" x14ac:dyDescent="0.25">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t="s">
        <v>129</v>
      </c>
      <c r="T236" t="s">
        <v>169</v>
      </c>
    </row>
    <row r="237" spans="1:20" x14ac:dyDescent="0.25">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t="s">
        <v>83</v>
      </c>
      <c r="T237" t="s">
        <v>113</v>
      </c>
    </row>
    <row r="238" spans="1:20" x14ac:dyDescent="0.25">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t="s">
        <v>83</v>
      </c>
      <c r="T238" t="s">
        <v>77</v>
      </c>
    </row>
    <row r="239" spans="1:20" x14ac:dyDescent="0.25">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t="s">
        <v>129</v>
      </c>
      <c r="T239" t="s">
        <v>161</v>
      </c>
    </row>
    <row r="240" spans="1:20" x14ac:dyDescent="0.25">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t="s">
        <v>123</v>
      </c>
      <c r="T240" t="s">
        <v>96</v>
      </c>
    </row>
    <row r="241" spans="1:20" x14ac:dyDescent="0.25">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t="s">
        <v>123</v>
      </c>
      <c r="T241" t="s">
        <v>96</v>
      </c>
    </row>
    <row r="242" spans="1:20" x14ac:dyDescent="0.25">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t="s">
        <v>58</v>
      </c>
      <c r="T242" t="s">
        <v>71</v>
      </c>
    </row>
    <row r="243" spans="1:20" x14ac:dyDescent="0.25">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t="s">
        <v>70</v>
      </c>
      <c r="T243" t="s">
        <v>96</v>
      </c>
    </row>
    <row r="244" spans="1:20" x14ac:dyDescent="0.25">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t="s">
        <v>83</v>
      </c>
      <c r="T244" t="s">
        <v>96</v>
      </c>
    </row>
    <row r="245" spans="1:20" x14ac:dyDescent="0.25">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t="s">
        <v>70</v>
      </c>
      <c r="T245" t="s">
        <v>297</v>
      </c>
    </row>
    <row r="246" spans="1:20" x14ac:dyDescent="0.25">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t="s">
        <v>430</v>
      </c>
      <c r="T246" t="s">
        <v>77</v>
      </c>
    </row>
    <row r="247" spans="1:20" x14ac:dyDescent="0.25">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t="s">
        <v>430</v>
      </c>
      <c r="T247" t="s">
        <v>77</v>
      </c>
    </row>
    <row r="248" spans="1:20" x14ac:dyDescent="0.25">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t="s">
        <v>83</v>
      </c>
      <c r="T248" t="s">
        <v>113</v>
      </c>
    </row>
    <row r="249" spans="1:20" x14ac:dyDescent="0.25">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t="s">
        <v>129</v>
      </c>
      <c r="T249" t="s">
        <v>71</v>
      </c>
    </row>
    <row r="250" spans="1:20" x14ac:dyDescent="0.25">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t="s">
        <v>129</v>
      </c>
      <c r="T250" t="s">
        <v>71</v>
      </c>
    </row>
    <row r="251" spans="1:20" x14ac:dyDescent="0.25">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t="s">
        <v>83</v>
      </c>
      <c r="T251" t="s">
        <v>71</v>
      </c>
    </row>
    <row r="252" spans="1:20" x14ac:dyDescent="0.25">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t="s">
        <v>83</v>
      </c>
      <c r="T252" t="s">
        <v>77</v>
      </c>
    </row>
    <row r="253" spans="1:20" x14ac:dyDescent="0.25">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t="s">
        <v>83</v>
      </c>
      <c r="T253" t="s">
        <v>77</v>
      </c>
    </row>
    <row r="254" spans="1:20" x14ac:dyDescent="0.25">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t="s">
        <v>123</v>
      </c>
      <c r="T254" t="s">
        <v>96</v>
      </c>
    </row>
    <row r="255" spans="1:20" x14ac:dyDescent="0.25">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t="s">
        <v>58</v>
      </c>
      <c r="T255" t="s">
        <v>34</v>
      </c>
    </row>
    <row r="256" spans="1:20" x14ac:dyDescent="0.25">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t="s">
        <v>430</v>
      </c>
      <c r="T256" t="s">
        <v>48</v>
      </c>
    </row>
    <row r="257" spans="1:20" x14ac:dyDescent="0.25">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t="s">
        <v>430</v>
      </c>
      <c r="T257" t="s">
        <v>48</v>
      </c>
    </row>
    <row r="258" spans="1:20" x14ac:dyDescent="0.25">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t="s">
        <v>430</v>
      </c>
      <c r="T258" t="s">
        <v>48</v>
      </c>
    </row>
    <row r="259" spans="1:20" x14ac:dyDescent="0.25">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t="s">
        <v>83</v>
      </c>
      <c r="T259" t="s">
        <v>253</v>
      </c>
    </row>
    <row r="260" spans="1:20" x14ac:dyDescent="0.25">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t="s">
        <v>70</v>
      </c>
      <c r="T260" t="s">
        <v>96</v>
      </c>
    </row>
    <row r="261" spans="1:20" x14ac:dyDescent="0.25">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t="s">
        <v>70</v>
      </c>
      <c r="T261" t="s">
        <v>96</v>
      </c>
    </row>
    <row r="262" spans="1:20" x14ac:dyDescent="0.25">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t="s">
        <v>70</v>
      </c>
      <c r="T262" t="s">
        <v>96</v>
      </c>
    </row>
    <row r="263" spans="1:20" x14ac:dyDescent="0.25">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t="s">
        <v>129</v>
      </c>
      <c r="T263" t="s">
        <v>96</v>
      </c>
    </row>
    <row r="264" spans="1:20" x14ac:dyDescent="0.25">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t="s">
        <v>83</v>
      </c>
      <c r="T264" t="s">
        <v>195</v>
      </c>
    </row>
    <row r="265" spans="1:20" x14ac:dyDescent="0.25">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t="s">
        <v>83</v>
      </c>
      <c r="T265" t="s">
        <v>195</v>
      </c>
    </row>
    <row r="266" spans="1:20" x14ac:dyDescent="0.25">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t="s">
        <v>123</v>
      </c>
      <c r="T266" t="s">
        <v>48</v>
      </c>
    </row>
    <row r="267" spans="1:20" x14ac:dyDescent="0.25">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t="s">
        <v>58</v>
      </c>
      <c r="T267" t="s">
        <v>96</v>
      </c>
    </row>
    <row r="268" spans="1:20" x14ac:dyDescent="0.25">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t="s">
        <v>83</v>
      </c>
      <c r="T268" t="s">
        <v>77</v>
      </c>
    </row>
    <row r="269" spans="1:20" x14ac:dyDescent="0.25">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t="s">
        <v>430</v>
      </c>
      <c r="T269" t="s">
        <v>161</v>
      </c>
    </row>
    <row r="270" spans="1:20" x14ac:dyDescent="0.25">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t="s">
        <v>83</v>
      </c>
      <c r="T270" t="s">
        <v>34</v>
      </c>
    </row>
    <row r="271" spans="1:20" x14ac:dyDescent="0.25">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t="s">
        <v>70</v>
      </c>
      <c r="T271" t="s">
        <v>96</v>
      </c>
    </row>
    <row r="272" spans="1:20" x14ac:dyDescent="0.25">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t="s">
        <v>70</v>
      </c>
      <c r="T272" t="s">
        <v>96</v>
      </c>
    </row>
    <row r="273" spans="1:20" x14ac:dyDescent="0.25">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t="s">
        <v>58</v>
      </c>
      <c r="T273" t="s">
        <v>77</v>
      </c>
    </row>
    <row r="274" spans="1:20" x14ac:dyDescent="0.25">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t="s">
        <v>83</v>
      </c>
      <c r="T274" t="s">
        <v>71</v>
      </c>
    </row>
    <row r="275" spans="1:20" x14ac:dyDescent="0.25">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t="s">
        <v>123</v>
      </c>
      <c r="T275" t="s">
        <v>59</v>
      </c>
    </row>
    <row r="276" spans="1:20" x14ac:dyDescent="0.25">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t="s">
        <v>47</v>
      </c>
      <c r="T276" t="s">
        <v>77</v>
      </c>
    </row>
    <row r="277" spans="1:20" x14ac:dyDescent="0.25">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t="s">
        <v>58</v>
      </c>
      <c r="T277" t="s">
        <v>96</v>
      </c>
    </row>
    <row r="278" spans="1:20" x14ac:dyDescent="0.25">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t="s">
        <v>83</v>
      </c>
      <c r="T278" t="s">
        <v>59</v>
      </c>
    </row>
    <row r="279" spans="1:20" x14ac:dyDescent="0.25">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t="s">
        <v>83</v>
      </c>
      <c r="T279" t="s">
        <v>161</v>
      </c>
    </row>
    <row r="280" spans="1:20" x14ac:dyDescent="0.25">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t="s">
        <v>58</v>
      </c>
      <c r="T280" t="s">
        <v>113</v>
      </c>
    </row>
    <row r="281" spans="1:20" x14ac:dyDescent="0.25">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t="s">
        <v>70</v>
      </c>
      <c r="T281" t="s">
        <v>195</v>
      </c>
    </row>
    <row r="282" spans="1:20" x14ac:dyDescent="0.25">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t="s">
        <v>58</v>
      </c>
      <c r="T282" t="s">
        <v>48</v>
      </c>
    </row>
    <row r="283" spans="1:20" x14ac:dyDescent="0.25">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t="s">
        <v>58</v>
      </c>
      <c r="T283" t="s">
        <v>161</v>
      </c>
    </row>
    <row r="284" spans="1:20" x14ac:dyDescent="0.25">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t="s">
        <v>123</v>
      </c>
      <c r="T284" t="s">
        <v>113</v>
      </c>
    </row>
    <row r="285" spans="1:20" x14ac:dyDescent="0.25">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t="s">
        <v>58</v>
      </c>
      <c r="T285" t="s">
        <v>77</v>
      </c>
    </row>
    <row r="286" spans="1:20" x14ac:dyDescent="0.25">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t="s">
        <v>123</v>
      </c>
      <c r="T286" t="s">
        <v>34</v>
      </c>
    </row>
    <row r="287" spans="1:20" x14ac:dyDescent="0.25">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t="s">
        <v>33</v>
      </c>
      <c r="T287" t="s">
        <v>71</v>
      </c>
    </row>
    <row r="288" spans="1:20" x14ac:dyDescent="0.25">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t="s">
        <v>83</v>
      </c>
      <c r="T288" t="s">
        <v>96</v>
      </c>
    </row>
    <row r="289" spans="1:20" x14ac:dyDescent="0.25">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t="s">
        <v>58</v>
      </c>
      <c r="T289" t="s">
        <v>77</v>
      </c>
    </row>
    <row r="290" spans="1:20" x14ac:dyDescent="0.25">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t="s">
        <v>129</v>
      </c>
      <c r="T290" t="s">
        <v>77</v>
      </c>
    </row>
    <row r="291" spans="1:20" x14ac:dyDescent="0.25">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t="s">
        <v>430</v>
      </c>
      <c r="T291" t="s">
        <v>297</v>
      </c>
    </row>
    <row r="292" spans="1:20" x14ac:dyDescent="0.25">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t="s">
        <v>430</v>
      </c>
      <c r="T292" t="s">
        <v>297</v>
      </c>
    </row>
    <row r="293" spans="1:20" x14ac:dyDescent="0.25">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t="s">
        <v>58</v>
      </c>
      <c r="T293" t="s">
        <v>48</v>
      </c>
    </row>
    <row r="294" spans="1:20" x14ac:dyDescent="0.25">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t="s">
        <v>58</v>
      </c>
      <c r="T294" t="s">
        <v>48</v>
      </c>
    </row>
    <row r="295" spans="1:20" x14ac:dyDescent="0.25">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t="s">
        <v>129</v>
      </c>
      <c r="T295" t="s">
        <v>113</v>
      </c>
    </row>
    <row r="296" spans="1:20" x14ac:dyDescent="0.25">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t="s">
        <v>70</v>
      </c>
      <c r="T296" t="s">
        <v>113</v>
      </c>
    </row>
    <row r="297" spans="1:20" x14ac:dyDescent="0.25">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t="s">
        <v>83</v>
      </c>
      <c r="T297" t="s">
        <v>77</v>
      </c>
    </row>
    <row r="298" spans="1:20" x14ac:dyDescent="0.25">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t="s">
        <v>58</v>
      </c>
      <c r="T298" t="s">
        <v>77</v>
      </c>
    </row>
    <row r="299" spans="1:20" x14ac:dyDescent="0.25">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t="s">
        <v>83</v>
      </c>
      <c r="T299" t="s">
        <v>71</v>
      </c>
    </row>
    <row r="300" spans="1:20" x14ac:dyDescent="0.25">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t="s">
        <v>83</v>
      </c>
      <c r="T300" t="s">
        <v>71</v>
      </c>
    </row>
    <row r="301" spans="1:20" x14ac:dyDescent="0.25">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t="s">
        <v>33</v>
      </c>
      <c r="T301" t="s">
        <v>169</v>
      </c>
    </row>
    <row r="302" spans="1:20" x14ac:dyDescent="0.25">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t="s">
        <v>33</v>
      </c>
      <c r="T302" t="s">
        <v>77</v>
      </c>
    </row>
    <row r="303" spans="1:20" x14ac:dyDescent="0.25">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t="s">
        <v>70</v>
      </c>
      <c r="T303" t="s">
        <v>96</v>
      </c>
    </row>
    <row r="304" spans="1:20" x14ac:dyDescent="0.25">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t="s">
        <v>430</v>
      </c>
      <c r="T304" t="s">
        <v>48</v>
      </c>
    </row>
    <row r="305" spans="1:20" x14ac:dyDescent="0.25">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t="s">
        <v>33</v>
      </c>
      <c r="T305" t="s">
        <v>59</v>
      </c>
    </row>
    <row r="306" spans="1:20" x14ac:dyDescent="0.25">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t="s">
        <v>47</v>
      </c>
      <c r="T306" t="s">
        <v>59</v>
      </c>
    </row>
    <row r="307" spans="1:20" x14ac:dyDescent="0.25">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t="s">
        <v>430</v>
      </c>
      <c r="T307" t="s">
        <v>161</v>
      </c>
    </row>
    <row r="308" spans="1:20" x14ac:dyDescent="0.25">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t="s">
        <v>83</v>
      </c>
      <c r="T308" t="s">
        <v>195</v>
      </c>
    </row>
    <row r="309" spans="1:20" x14ac:dyDescent="0.25">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t="s">
        <v>70</v>
      </c>
      <c r="T309" t="s">
        <v>253</v>
      </c>
    </row>
    <row r="310" spans="1:20" x14ac:dyDescent="0.25">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t="s">
        <v>129</v>
      </c>
      <c r="T310" t="s">
        <v>253</v>
      </c>
    </row>
    <row r="311" spans="1:20" x14ac:dyDescent="0.25">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t="s">
        <v>83</v>
      </c>
      <c r="T311" t="s">
        <v>96</v>
      </c>
    </row>
    <row r="312" spans="1:20" x14ac:dyDescent="0.25">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t="s">
        <v>123</v>
      </c>
      <c r="T312" t="s">
        <v>96</v>
      </c>
    </row>
    <row r="313" spans="1:20" x14ac:dyDescent="0.25">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t="s">
        <v>83</v>
      </c>
      <c r="T313" t="s">
        <v>34</v>
      </c>
    </row>
    <row r="314" spans="1:20" x14ac:dyDescent="0.25">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t="s">
        <v>83</v>
      </c>
      <c r="T314" t="s">
        <v>34</v>
      </c>
    </row>
    <row r="315" spans="1:20" x14ac:dyDescent="0.25">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t="s">
        <v>83</v>
      </c>
      <c r="T315" t="s">
        <v>48</v>
      </c>
    </row>
    <row r="316" spans="1:20" x14ac:dyDescent="0.25">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t="s">
        <v>47</v>
      </c>
      <c r="T316" t="s">
        <v>34</v>
      </c>
    </row>
    <row r="317" spans="1:20" x14ac:dyDescent="0.25">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t="s">
        <v>129</v>
      </c>
      <c r="T317" t="s">
        <v>253</v>
      </c>
    </row>
    <row r="318" spans="1:20" x14ac:dyDescent="0.25">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t="s">
        <v>33</v>
      </c>
      <c r="T318" t="s">
        <v>77</v>
      </c>
    </row>
    <row r="319" spans="1:20" x14ac:dyDescent="0.25">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t="s">
        <v>129</v>
      </c>
      <c r="T319" t="s">
        <v>96</v>
      </c>
    </row>
    <row r="320" spans="1:20" x14ac:dyDescent="0.25">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t="s">
        <v>83</v>
      </c>
      <c r="T320" t="s">
        <v>96</v>
      </c>
    </row>
    <row r="321" spans="1:20" x14ac:dyDescent="0.25">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t="s">
        <v>58</v>
      </c>
      <c r="T321" t="s">
        <v>96</v>
      </c>
    </row>
    <row r="322" spans="1:20" x14ac:dyDescent="0.25">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t="s">
        <v>58</v>
      </c>
      <c r="T322" t="s">
        <v>71</v>
      </c>
    </row>
    <row r="323" spans="1:20" x14ac:dyDescent="0.25">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t="s">
        <v>83</v>
      </c>
      <c r="T323" t="s">
        <v>297</v>
      </c>
    </row>
    <row r="324" spans="1:20" x14ac:dyDescent="0.25">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t="s">
        <v>70</v>
      </c>
      <c r="T324" t="s">
        <v>77</v>
      </c>
    </row>
    <row r="325" spans="1:20" x14ac:dyDescent="0.25">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t="s">
        <v>58</v>
      </c>
      <c r="T325" t="s">
        <v>195</v>
      </c>
    </row>
    <row r="326" spans="1:20" x14ac:dyDescent="0.25">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t="s">
        <v>83</v>
      </c>
      <c r="T326" t="s">
        <v>96</v>
      </c>
    </row>
    <row r="327" spans="1:20" x14ac:dyDescent="0.25">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t="s">
        <v>70</v>
      </c>
      <c r="T327" t="s">
        <v>195</v>
      </c>
    </row>
    <row r="328" spans="1:20" x14ac:dyDescent="0.25">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t="s">
        <v>430</v>
      </c>
      <c r="T328" t="s">
        <v>59</v>
      </c>
    </row>
    <row r="329" spans="1:20" x14ac:dyDescent="0.25">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t="s">
        <v>70</v>
      </c>
      <c r="T329" t="s">
        <v>34</v>
      </c>
    </row>
    <row r="330" spans="1:20" x14ac:dyDescent="0.25">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t="s">
        <v>70</v>
      </c>
      <c r="T330" t="s">
        <v>34</v>
      </c>
    </row>
    <row r="331" spans="1:20" x14ac:dyDescent="0.25">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t="s">
        <v>33</v>
      </c>
      <c r="T331" t="s">
        <v>96</v>
      </c>
    </row>
    <row r="332" spans="1:20" x14ac:dyDescent="0.25">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t="s">
        <v>33</v>
      </c>
      <c r="T332" t="s">
        <v>253</v>
      </c>
    </row>
    <row r="333" spans="1:20" x14ac:dyDescent="0.25">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t="s">
        <v>33</v>
      </c>
      <c r="T333" t="s">
        <v>253</v>
      </c>
    </row>
    <row r="334" spans="1:20" x14ac:dyDescent="0.25">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t="s">
        <v>33</v>
      </c>
      <c r="T334" t="s">
        <v>253</v>
      </c>
    </row>
    <row r="335" spans="1:20" x14ac:dyDescent="0.25">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t="s">
        <v>33</v>
      </c>
      <c r="T335" t="s">
        <v>195</v>
      </c>
    </row>
    <row r="336" spans="1:20" x14ac:dyDescent="0.25">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t="s">
        <v>83</v>
      </c>
      <c r="T336" t="s">
        <v>161</v>
      </c>
    </row>
    <row r="337" spans="1:20" x14ac:dyDescent="0.25">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t="s">
        <v>70</v>
      </c>
      <c r="T337" t="s">
        <v>48</v>
      </c>
    </row>
    <row r="338" spans="1:20" x14ac:dyDescent="0.25">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t="s">
        <v>70</v>
      </c>
      <c r="T338" t="s">
        <v>34</v>
      </c>
    </row>
    <row r="339" spans="1:20" x14ac:dyDescent="0.25">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t="s">
        <v>58</v>
      </c>
      <c r="T339" t="s">
        <v>161</v>
      </c>
    </row>
    <row r="340" spans="1:20" x14ac:dyDescent="0.25">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t="s">
        <v>83</v>
      </c>
      <c r="T340" t="s">
        <v>161</v>
      </c>
    </row>
    <row r="341" spans="1:20" x14ac:dyDescent="0.25">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t="s">
        <v>47</v>
      </c>
      <c r="T341" t="s">
        <v>71</v>
      </c>
    </row>
    <row r="342" spans="1:20" x14ac:dyDescent="0.25">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t="s">
        <v>129</v>
      </c>
      <c r="T342" t="s">
        <v>77</v>
      </c>
    </row>
    <row r="343" spans="1:20" x14ac:dyDescent="0.25">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t="s">
        <v>83</v>
      </c>
      <c r="T343" t="s">
        <v>59</v>
      </c>
    </row>
    <row r="344" spans="1:20" x14ac:dyDescent="0.25">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t="s">
        <v>129</v>
      </c>
      <c r="T344" t="s">
        <v>161</v>
      </c>
    </row>
    <row r="345" spans="1:20" x14ac:dyDescent="0.25">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t="s">
        <v>33</v>
      </c>
      <c r="T345" t="s">
        <v>161</v>
      </c>
    </row>
    <row r="346" spans="1:20" x14ac:dyDescent="0.25">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t="s">
        <v>58</v>
      </c>
      <c r="T346" t="s">
        <v>169</v>
      </c>
    </row>
    <row r="347" spans="1:20" x14ac:dyDescent="0.25">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t="s">
        <v>83</v>
      </c>
      <c r="T347" t="s">
        <v>77</v>
      </c>
    </row>
    <row r="348" spans="1:20" x14ac:dyDescent="0.25">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t="s">
        <v>129</v>
      </c>
      <c r="T348" t="s">
        <v>77</v>
      </c>
    </row>
    <row r="349" spans="1:20" x14ac:dyDescent="0.25">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t="s">
        <v>58</v>
      </c>
      <c r="T349" t="s">
        <v>34</v>
      </c>
    </row>
    <row r="350" spans="1:20" x14ac:dyDescent="0.25">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t="s">
        <v>70</v>
      </c>
      <c r="T350" t="s">
        <v>96</v>
      </c>
    </row>
    <row r="351" spans="1:20" x14ac:dyDescent="0.25">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t="s">
        <v>83</v>
      </c>
      <c r="T351" t="s">
        <v>253</v>
      </c>
    </row>
    <row r="352" spans="1:20" x14ac:dyDescent="0.25">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t="s">
        <v>58</v>
      </c>
      <c r="T352" t="s">
        <v>195</v>
      </c>
    </row>
    <row r="353" spans="1:20" x14ac:dyDescent="0.25">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t="s">
        <v>83</v>
      </c>
      <c r="T353" t="s">
        <v>59</v>
      </c>
    </row>
    <row r="354" spans="1:20" x14ac:dyDescent="0.25">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t="s">
        <v>70</v>
      </c>
      <c r="T354" t="s">
        <v>71</v>
      </c>
    </row>
    <row r="355" spans="1:20" x14ac:dyDescent="0.25">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t="s">
        <v>129</v>
      </c>
      <c r="T355" t="s">
        <v>48</v>
      </c>
    </row>
    <row r="356" spans="1:20" x14ac:dyDescent="0.25">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t="s">
        <v>58</v>
      </c>
      <c r="T356" t="s">
        <v>77</v>
      </c>
    </row>
    <row r="357" spans="1:20" x14ac:dyDescent="0.25">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t="s">
        <v>129</v>
      </c>
      <c r="T357" t="s">
        <v>48</v>
      </c>
    </row>
    <row r="358" spans="1:20" x14ac:dyDescent="0.25">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t="s">
        <v>58</v>
      </c>
      <c r="T358" t="s">
        <v>161</v>
      </c>
    </row>
    <row r="359" spans="1:20" x14ac:dyDescent="0.25">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t="s">
        <v>58</v>
      </c>
      <c r="T359" t="s">
        <v>161</v>
      </c>
    </row>
    <row r="360" spans="1:20" x14ac:dyDescent="0.25">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t="s">
        <v>58</v>
      </c>
      <c r="T360" t="s">
        <v>96</v>
      </c>
    </row>
    <row r="361" spans="1:20" x14ac:dyDescent="0.25">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t="s">
        <v>58</v>
      </c>
      <c r="T361" t="s">
        <v>113</v>
      </c>
    </row>
    <row r="362" spans="1:20" x14ac:dyDescent="0.25">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t="s">
        <v>83</v>
      </c>
      <c r="T362" t="s">
        <v>48</v>
      </c>
    </row>
    <row r="363" spans="1:20" x14ac:dyDescent="0.25">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t="s">
        <v>58</v>
      </c>
      <c r="T363" t="s">
        <v>34</v>
      </c>
    </row>
    <row r="364" spans="1:20" x14ac:dyDescent="0.25">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t="s">
        <v>33</v>
      </c>
      <c r="T364" t="s">
        <v>48</v>
      </c>
    </row>
    <row r="365" spans="1:20" x14ac:dyDescent="0.25">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t="s">
        <v>83</v>
      </c>
      <c r="T365" t="s">
        <v>77</v>
      </c>
    </row>
    <row r="366" spans="1:20" x14ac:dyDescent="0.25">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t="s">
        <v>83</v>
      </c>
      <c r="T366" t="s">
        <v>77</v>
      </c>
    </row>
    <row r="367" spans="1:20" x14ac:dyDescent="0.25">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t="s">
        <v>83</v>
      </c>
      <c r="T367" t="s">
        <v>253</v>
      </c>
    </row>
    <row r="368" spans="1:20" x14ac:dyDescent="0.25">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t="s">
        <v>70</v>
      </c>
      <c r="T368" t="s">
        <v>96</v>
      </c>
    </row>
    <row r="369" spans="1:20" x14ac:dyDescent="0.25">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t="s">
        <v>83</v>
      </c>
      <c r="T369" t="s">
        <v>71</v>
      </c>
    </row>
    <row r="370" spans="1:20" x14ac:dyDescent="0.25">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t="s">
        <v>129</v>
      </c>
      <c r="T370" t="s">
        <v>34</v>
      </c>
    </row>
    <row r="371" spans="1:20" x14ac:dyDescent="0.25">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t="s">
        <v>129</v>
      </c>
      <c r="T371" t="s">
        <v>48</v>
      </c>
    </row>
    <row r="372" spans="1:20" x14ac:dyDescent="0.25">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t="s">
        <v>70</v>
      </c>
      <c r="T372" t="s">
        <v>59</v>
      </c>
    </row>
    <row r="373" spans="1:20" x14ac:dyDescent="0.25">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t="s">
        <v>129</v>
      </c>
      <c r="T373" t="s">
        <v>34</v>
      </c>
    </row>
    <row r="374" spans="1:20" x14ac:dyDescent="0.25">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t="s">
        <v>129</v>
      </c>
      <c r="T374" t="s">
        <v>34</v>
      </c>
    </row>
    <row r="375" spans="1:20" x14ac:dyDescent="0.25">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t="s">
        <v>83</v>
      </c>
      <c r="T375" t="s">
        <v>77</v>
      </c>
    </row>
    <row r="376" spans="1:20" x14ac:dyDescent="0.25">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t="s">
        <v>83</v>
      </c>
      <c r="T376" t="s">
        <v>161</v>
      </c>
    </row>
    <row r="377" spans="1:20" x14ac:dyDescent="0.25">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t="s">
        <v>83</v>
      </c>
      <c r="T377" t="s">
        <v>297</v>
      </c>
    </row>
    <row r="378" spans="1:20" x14ac:dyDescent="0.25">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t="s">
        <v>129</v>
      </c>
      <c r="T378" t="s">
        <v>96</v>
      </c>
    </row>
    <row r="379" spans="1:20" x14ac:dyDescent="0.25">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t="s">
        <v>129</v>
      </c>
      <c r="T379" t="s">
        <v>96</v>
      </c>
    </row>
    <row r="380" spans="1:20" x14ac:dyDescent="0.25">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t="s">
        <v>430</v>
      </c>
      <c r="T380" t="s">
        <v>48</v>
      </c>
    </row>
    <row r="381" spans="1:20" x14ac:dyDescent="0.25">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t="s">
        <v>83</v>
      </c>
      <c r="T381" t="s">
        <v>34</v>
      </c>
    </row>
    <row r="382" spans="1:20" x14ac:dyDescent="0.25">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t="s">
        <v>83</v>
      </c>
      <c r="T382" t="s">
        <v>253</v>
      </c>
    </row>
    <row r="383" spans="1:20" x14ac:dyDescent="0.25">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t="s">
        <v>58</v>
      </c>
      <c r="T383" t="s">
        <v>71</v>
      </c>
    </row>
    <row r="384" spans="1:20" x14ac:dyDescent="0.25">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t="s">
        <v>70</v>
      </c>
      <c r="T384" t="s">
        <v>297</v>
      </c>
    </row>
    <row r="385" spans="1:20" x14ac:dyDescent="0.25">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t="s">
        <v>58</v>
      </c>
      <c r="T385" t="s">
        <v>169</v>
      </c>
    </row>
    <row r="386" spans="1:20" x14ac:dyDescent="0.25">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t="s">
        <v>430</v>
      </c>
      <c r="T386" t="s">
        <v>77</v>
      </c>
    </row>
    <row r="387" spans="1:20" x14ac:dyDescent="0.25">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t="s">
        <v>123</v>
      </c>
      <c r="T387" t="s">
        <v>195</v>
      </c>
    </row>
    <row r="388" spans="1:20" x14ac:dyDescent="0.25">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t="s">
        <v>83</v>
      </c>
      <c r="T388" t="s">
        <v>48</v>
      </c>
    </row>
    <row r="389" spans="1:20" x14ac:dyDescent="0.25">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t="s">
        <v>83</v>
      </c>
      <c r="T389" t="s">
        <v>48</v>
      </c>
    </row>
    <row r="390" spans="1:20" x14ac:dyDescent="0.25">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t="s">
        <v>33</v>
      </c>
      <c r="T390" t="s">
        <v>113</v>
      </c>
    </row>
    <row r="391" spans="1:20" x14ac:dyDescent="0.25">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t="s">
        <v>83</v>
      </c>
      <c r="T391" t="s">
        <v>71</v>
      </c>
    </row>
    <row r="392" spans="1:20" x14ac:dyDescent="0.25">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t="s">
        <v>83</v>
      </c>
      <c r="T392" t="s">
        <v>71</v>
      </c>
    </row>
    <row r="393" spans="1:20" x14ac:dyDescent="0.25">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t="s">
        <v>83</v>
      </c>
      <c r="T393" t="s">
        <v>34</v>
      </c>
    </row>
    <row r="394" spans="1:20" x14ac:dyDescent="0.25">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t="s">
        <v>129</v>
      </c>
      <c r="T394" t="s">
        <v>195</v>
      </c>
    </row>
    <row r="395" spans="1:20" x14ac:dyDescent="0.25">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t="s">
        <v>83</v>
      </c>
      <c r="T395" t="s">
        <v>96</v>
      </c>
    </row>
    <row r="396" spans="1:20" x14ac:dyDescent="0.25">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t="s">
        <v>430</v>
      </c>
      <c r="T396" t="s">
        <v>195</v>
      </c>
    </row>
    <row r="397" spans="1:20" x14ac:dyDescent="0.25">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t="s">
        <v>83</v>
      </c>
      <c r="T397" t="s">
        <v>113</v>
      </c>
    </row>
    <row r="398" spans="1:20" x14ac:dyDescent="0.25">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t="s">
        <v>123</v>
      </c>
      <c r="T398" t="s">
        <v>48</v>
      </c>
    </row>
    <row r="399" spans="1:20" x14ac:dyDescent="0.25">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t="s">
        <v>83</v>
      </c>
      <c r="T399" t="s">
        <v>253</v>
      </c>
    </row>
    <row r="400" spans="1:20" x14ac:dyDescent="0.25">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t="s">
        <v>123</v>
      </c>
      <c r="T400" t="s">
        <v>48</v>
      </c>
    </row>
    <row r="401" spans="1:20" x14ac:dyDescent="0.25">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t="s">
        <v>123</v>
      </c>
      <c r="T401" t="s">
        <v>297</v>
      </c>
    </row>
    <row r="402" spans="1:20" x14ac:dyDescent="0.25">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t="s">
        <v>58</v>
      </c>
      <c r="T402" t="s">
        <v>96</v>
      </c>
    </row>
    <row r="403" spans="1:20" x14ac:dyDescent="0.25">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t="s">
        <v>70</v>
      </c>
      <c r="T403" t="s">
        <v>253</v>
      </c>
    </row>
    <row r="404" spans="1:20" x14ac:dyDescent="0.25">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t="s">
        <v>83</v>
      </c>
      <c r="T404" t="s">
        <v>253</v>
      </c>
    </row>
    <row r="405" spans="1:20" x14ac:dyDescent="0.25">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t="s">
        <v>83</v>
      </c>
      <c r="T405" t="s">
        <v>253</v>
      </c>
    </row>
    <row r="406" spans="1:20" x14ac:dyDescent="0.25">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t="s">
        <v>70</v>
      </c>
      <c r="T406" t="s">
        <v>161</v>
      </c>
    </row>
    <row r="407" spans="1:20" x14ac:dyDescent="0.25">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t="s">
        <v>83</v>
      </c>
      <c r="T407" t="s">
        <v>71</v>
      </c>
    </row>
    <row r="408" spans="1:20" x14ac:dyDescent="0.25">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t="s">
        <v>83</v>
      </c>
      <c r="T408" t="s">
        <v>77</v>
      </c>
    </row>
    <row r="409" spans="1:20" x14ac:dyDescent="0.25">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t="s">
        <v>83</v>
      </c>
      <c r="T409" t="s">
        <v>77</v>
      </c>
    </row>
    <row r="410" spans="1:20" x14ac:dyDescent="0.25">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t="s">
        <v>83</v>
      </c>
      <c r="T410" t="s">
        <v>77</v>
      </c>
    </row>
    <row r="411" spans="1:20" x14ac:dyDescent="0.25">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t="s">
        <v>70</v>
      </c>
      <c r="T411" t="s">
        <v>48</v>
      </c>
    </row>
    <row r="412" spans="1:20" x14ac:dyDescent="0.25">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t="s">
        <v>430</v>
      </c>
      <c r="T412" t="s">
        <v>113</v>
      </c>
    </row>
    <row r="413" spans="1:20" x14ac:dyDescent="0.25">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t="s">
        <v>70</v>
      </c>
      <c r="T413" t="s">
        <v>34</v>
      </c>
    </row>
    <row r="414" spans="1:20" x14ac:dyDescent="0.25">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t="s">
        <v>83</v>
      </c>
      <c r="T414" t="s">
        <v>34</v>
      </c>
    </row>
    <row r="415" spans="1:20" x14ac:dyDescent="0.25">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t="s">
        <v>70</v>
      </c>
      <c r="T415" t="s">
        <v>96</v>
      </c>
    </row>
    <row r="416" spans="1:20" x14ac:dyDescent="0.25">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t="s">
        <v>33</v>
      </c>
      <c r="T416" t="s">
        <v>96</v>
      </c>
    </row>
    <row r="417" spans="1:20" x14ac:dyDescent="0.25">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t="s">
        <v>123</v>
      </c>
      <c r="T417" t="s">
        <v>253</v>
      </c>
    </row>
    <row r="418" spans="1:20" x14ac:dyDescent="0.25">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t="s">
        <v>58</v>
      </c>
      <c r="T418" t="s">
        <v>77</v>
      </c>
    </row>
    <row r="419" spans="1:20" x14ac:dyDescent="0.25">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t="s">
        <v>70</v>
      </c>
      <c r="T419" t="s">
        <v>77</v>
      </c>
    </row>
    <row r="420" spans="1:20" x14ac:dyDescent="0.25">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t="s">
        <v>70</v>
      </c>
      <c r="T420" t="s">
        <v>195</v>
      </c>
    </row>
    <row r="421" spans="1:20" x14ac:dyDescent="0.25">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t="s">
        <v>83</v>
      </c>
      <c r="T421" t="s">
        <v>77</v>
      </c>
    </row>
    <row r="422" spans="1:20" x14ac:dyDescent="0.25">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t="s">
        <v>58</v>
      </c>
      <c r="T422" t="s">
        <v>59</v>
      </c>
    </row>
    <row r="423" spans="1:20" x14ac:dyDescent="0.25">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t="s">
        <v>70</v>
      </c>
      <c r="T423" t="s">
        <v>71</v>
      </c>
    </row>
    <row r="424" spans="1:20" x14ac:dyDescent="0.25">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t="s">
        <v>70</v>
      </c>
      <c r="T424" t="s">
        <v>71</v>
      </c>
    </row>
    <row r="425" spans="1:20" x14ac:dyDescent="0.25">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t="s">
        <v>70</v>
      </c>
      <c r="T425" t="s">
        <v>71</v>
      </c>
    </row>
    <row r="426" spans="1:20" x14ac:dyDescent="0.25">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t="s">
        <v>129</v>
      </c>
      <c r="T426" t="s">
        <v>96</v>
      </c>
    </row>
    <row r="427" spans="1:20" x14ac:dyDescent="0.25">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t="s">
        <v>33</v>
      </c>
      <c r="T427" t="s">
        <v>96</v>
      </c>
    </row>
    <row r="428" spans="1:20" x14ac:dyDescent="0.25">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t="s">
        <v>33</v>
      </c>
      <c r="T428" t="s">
        <v>96</v>
      </c>
    </row>
    <row r="429" spans="1:20" x14ac:dyDescent="0.25">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t="s">
        <v>83</v>
      </c>
      <c r="T429" t="s">
        <v>48</v>
      </c>
    </row>
    <row r="430" spans="1:20" x14ac:dyDescent="0.25">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t="s">
        <v>129</v>
      </c>
      <c r="T430" t="s">
        <v>113</v>
      </c>
    </row>
    <row r="431" spans="1:20" x14ac:dyDescent="0.25">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t="s">
        <v>58</v>
      </c>
      <c r="T431" t="s">
        <v>34</v>
      </c>
    </row>
    <row r="432" spans="1:20" x14ac:dyDescent="0.25">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t="s">
        <v>83</v>
      </c>
      <c r="T432" t="s">
        <v>96</v>
      </c>
    </row>
    <row r="433" spans="1:20" x14ac:dyDescent="0.25">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t="s">
        <v>58</v>
      </c>
      <c r="T433" t="s">
        <v>96</v>
      </c>
    </row>
    <row r="434" spans="1:20" x14ac:dyDescent="0.25">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t="s">
        <v>83</v>
      </c>
      <c r="T434" t="s">
        <v>71</v>
      </c>
    </row>
    <row r="435" spans="1:20" x14ac:dyDescent="0.25">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t="s">
        <v>83</v>
      </c>
      <c r="T435" t="s">
        <v>34</v>
      </c>
    </row>
    <row r="436" spans="1:20" x14ac:dyDescent="0.25">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t="s">
        <v>430</v>
      </c>
      <c r="T436" t="s">
        <v>71</v>
      </c>
    </row>
    <row r="437" spans="1:20" x14ac:dyDescent="0.25">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t="s">
        <v>430</v>
      </c>
      <c r="T437" t="s">
        <v>48</v>
      </c>
    </row>
    <row r="438" spans="1:20" x14ac:dyDescent="0.25">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t="s">
        <v>430</v>
      </c>
      <c r="T438" t="s">
        <v>48</v>
      </c>
    </row>
    <row r="439" spans="1:20" x14ac:dyDescent="0.25">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t="s">
        <v>58</v>
      </c>
      <c r="T439" t="s">
        <v>48</v>
      </c>
    </row>
    <row r="440" spans="1:20" x14ac:dyDescent="0.25">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t="s">
        <v>70</v>
      </c>
      <c r="T440" t="s">
        <v>34</v>
      </c>
    </row>
    <row r="441" spans="1:20" x14ac:dyDescent="0.25">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t="s">
        <v>70</v>
      </c>
      <c r="T441" t="s">
        <v>77</v>
      </c>
    </row>
    <row r="442" spans="1:20" x14ac:dyDescent="0.25">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t="s">
        <v>58</v>
      </c>
      <c r="T442" t="s">
        <v>48</v>
      </c>
    </row>
    <row r="443" spans="1:20" x14ac:dyDescent="0.25">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t="s">
        <v>70</v>
      </c>
      <c r="T443" t="s">
        <v>161</v>
      </c>
    </row>
    <row r="444" spans="1:20" x14ac:dyDescent="0.25">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t="s">
        <v>58</v>
      </c>
      <c r="T444" t="s">
        <v>96</v>
      </c>
    </row>
    <row r="445" spans="1:20" x14ac:dyDescent="0.25">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t="s">
        <v>58</v>
      </c>
      <c r="T445" t="s">
        <v>59</v>
      </c>
    </row>
    <row r="446" spans="1:20" x14ac:dyDescent="0.25">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t="s">
        <v>83</v>
      </c>
      <c r="T446" t="s">
        <v>59</v>
      </c>
    </row>
    <row r="447" spans="1:20" x14ac:dyDescent="0.25">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t="s">
        <v>58</v>
      </c>
      <c r="T447" t="s">
        <v>96</v>
      </c>
    </row>
    <row r="448" spans="1:20" x14ac:dyDescent="0.25">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t="s">
        <v>47</v>
      </c>
      <c r="T448" t="s">
        <v>34</v>
      </c>
    </row>
    <row r="449" spans="1:20" x14ac:dyDescent="0.25">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t="s">
        <v>58</v>
      </c>
      <c r="T449" t="s">
        <v>113</v>
      </c>
    </row>
    <row r="450" spans="1:20" x14ac:dyDescent="0.25">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t="s">
        <v>430</v>
      </c>
      <c r="T450" t="s">
        <v>161</v>
      </c>
    </row>
    <row r="451" spans="1:20" x14ac:dyDescent="0.25">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t="s">
        <v>129</v>
      </c>
      <c r="T451" t="s">
        <v>48</v>
      </c>
    </row>
    <row r="452" spans="1:20" x14ac:dyDescent="0.25">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t="s">
        <v>129</v>
      </c>
      <c r="T452" t="s">
        <v>34</v>
      </c>
    </row>
    <row r="453" spans="1:20" x14ac:dyDescent="0.25">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t="s">
        <v>83</v>
      </c>
      <c r="T453" t="s">
        <v>161</v>
      </c>
    </row>
    <row r="454" spans="1:20" x14ac:dyDescent="0.25">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t="s">
        <v>83</v>
      </c>
      <c r="T454" t="s">
        <v>161</v>
      </c>
    </row>
    <row r="455" spans="1:20" x14ac:dyDescent="0.25">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t="s">
        <v>58</v>
      </c>
      <c r="T455" t="s">
        <v>253</v>
      </c>
    </row>
    <row r="456" spans="1:20" x14ac:dyDescent="0.25">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t="s">
        <v>58</v>
      </c>
      <c r="T456" t="s">
        <v>59</v>
      </c>
    </row>
    <row r="457" spans="1:20" x14ac:dyDescent="0.25">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t="s">
        <v>129</v>
      </c>
      <c r="T457" t="s">
        <v>77</v>
      </c>
    </row>
    <row r="458" spans="1:20" x14ac:dyDescent="0.25">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t="s">
        <v>129</v>
      </c>
      <c r="T458" t="s">
        <v>59</v>
      </c>
    </row>
    <row r="459" spans="1:20" x14ac:dyDescent="0.25">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t="s">
        <v>83</v>
      </c>
      <c r="T459" t="s">
        <v>34</v>
      </c>
    </row>
    <row r="460" spans="1:20" x14ac:dyDescent="0.25">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t="s">
        <v>123</v>
      </c>
      <c r="T460" t="s">
        <v>48</v>
      </c>
    </row>
    <row r="461" spans="1:20" x14ac:dyDescent="0.25">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t="s">
        <v>430</v>
      </c>
      <c r="T461" t="s">
        <v>96</v>
      </c>
    </row>
    <row r="462" spans="1:20" x14ac:dyDescent="0.25">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t="s">
        <v>70</v>
      </c>
      <c r="T462" t="s">
        <v>195</v>
      </c>
    </row>
    <row r="463" spans="1:20" x14ac:dyDescent="0.25">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t="s">
        <v>83</v>
      </c>
      <c r="T463" t="s">
        <v>48</v>
      </c>
    </row>
    <row r="464" spans="1:20" x14ac:dyDescent="0.25">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t="s">
        <v>58</v>
      </c>
      <c r="T464" t="s">
        <v>59</v>
      </c>
    </row>
    <row r="465" spans="1:20" x14ac:dyDescent="0.25">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t="s">
        <v>129</v>
      </c>
      <c r="T465" t="s">
        <v>113</v>
      </c>
    </row>
    <row r="466" spans="1:20" x14ac:dyDescent="0.25">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t="s">
        <v>58</v>
      </c>
      <c r="T466" t="s">
        <v>77</v>
      </c>
    </row>
    <row r="467" spans="1:20" x14ac:dyDescent="0.25">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t="s">
        <v>33</v>
      </c>
      <c r="T467" t="s">
        <v>59</v>
      </c>
    </row>
    <row r="468" spans="1:20" x14ac:dyDescent="0.25">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t="s">
        <v>33</v>
      </c>
      <c r="T468" t="s">
        <v>297</v>
      </c>
    </row>
    <row r="469" spans="1:20" x14ac:dyDescent="0.25">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t="s">
        <v>58</v>
      </c>
      <c r="T469" t="s">
        <v>195</v>
      </c>
    </row>
    <row r="470" spans="1:20" x14ac:dyDescent="0.25">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t="s">
        <v>58</v>
      </c>
      <c r="T470" t="s">
        <v>48</v>
      </c>
    </row>
    <row r="471" spans="1:20" x14ac:dyDescent="0.25">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t="s">
        <v>58</v>
      </c>
      <c r="T471" t="s">
        <v>48</v>
      </c>
    </row>
    <row r="472" spans="1:20" x14ac:dyDescent="0.25">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t="s">
        <v>83</v>
      </c>
      <c r="T472" t="s">
        <v>59</v>
      </c>
    </row>
    <row r="473" spans="1:20" x14ac:dyDescent="0.25">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t="s">
        <v>33</v>
      </c>
      <c r="T473" t="s">
        <v>48</v>
      </c>
    </row>
    <row r="474" spans="1:20" x14ac:dyDescent="0.25">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t="s">
        <v>33</v>
      </c>
      <c r="T474" t="s">
        <v>48</v>
      </c>
    </row>
    <row r="475" spans="1:20" x14ac:dyDescent="0.25">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t="s">
        <v>33</v>
      </c>
      <c r="T475" t="s">
        <v>48</v>
      </c>
    </row>
    <row r="476" spans="1:20" x14ac:dyDescent="0.25">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t="s">
        <v>33</v>
      </c>
      <c r="T476" t="s">
        <v>169</v>
      </c>
    </row>
    <row r="477" spans="1:20" x14ac:dyDescent="0.25">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t="s">
        <v>58</v>
      </c>
      <c r="T477" t="s">
        <v>113</v>
      </c>
    </row>
    <row r="478" spans="1:20" x14ac:dyDescent="0.25">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t="s">
        <v>83</v>
      </c>
      <c r="T478" t="s">
        <v>96</v>
      </c>
    </row>
    <row r="479" spans="1:20" x14ac:dyDescent="0.25">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t="s">
        <v>83</v>
      </c>
      <c r="T479" t="s">
        <v>34</v>
      </c>
    </row>
    <row r="480" spans="1:20" x14ac:dyDescent="0.25">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t="s">
        <v>58</v>
      </c>
      <c r="T480" t="s">
        <v>77</v>
      </c>
    </row>
    <row r="481" spans="1:20" x14ac:dyDescent="0.25">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t="s">
        <v>123</v>
      </c>
      <c r="T481" t="s">
        <v>96</v>
      </c>
    </row>
    <row r="482" spans="1:20" x14ac:dyDescent="0.25">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t="s">
        <v>123</v>
      </c>
      <c r="T482" t="s">
        <v>59</v>
      </c>
    </row>
    <row r="483" spans="1:20" x14ac:dyDescent="0.25">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t="s">
        <v>58</v>
      </c>
      <c r="T483" t="s">
        <v>71</v>
      </c>
    </row>
    <row r="484" spans="1:20" x14ac:dyDescent="0.25">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t="s">
        <v>83</v>
      </c>
      <c r="T484" t="s">
        <v>77</v>
      </c>
    </row>
    <row r="485" spans="1:20" x14ac:dyDescent="0.25">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t="s">
        <v>83</v>
      </c>
      <c r="T485" t="s">
        <v>96</v>
      </c>
    </row>
    <row r="486" spans="1:20" x14ac:dyDescent="0.25">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t="s">
        <v>33</v>
      </c>
      <c r="T486" t="s">
        <v>96</v>
      </c>
    </row>
    <row r="487" spans="1:20" x14ac:dyDescent="0.25">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t="s">
        <v>58</v>
      </c>
      <c r="T487" t="s">
        <v>195</v>
      </c>
    </row>
    <row r="488" spans="1:20" x14ac:dyDescent="0.25">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t="s">
        <v>70</v>
      </c>
      <c r="T488" t="s">
        <v>253</v>
      </c>
    </row>
    <row r="489" spans="1:20" x14ac:dyDescent="0.25">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t="s">
        <v>83</v>
      </c>
      <c r="T489" t="s">
        <v>195</v>
      </c>
    </row>
    <row r="490" spans="1:20" x14ac:dyDescent="0.25">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t="s">
        <v>83</v>
      </c>
      <c r="T490" t="s">
        <v>195</v>
      </c>
    </row>
    <row r="491" spans="1:20" x14ac:dyDescent="0.25">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t="s">
        <v>83</v>
      </c>
      <c r="T491" t="s">
        <v>195</v>
      </c>
    </row>
    <row r="492" spans="1:20" x14ac:dyDescent="0.25">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t="s">
        <v>58</v>
      </c>
      <c r="T492" t="s">
        <v>195</v>
      </c>
    </row>
    <row r="493" spans="1:20" x14ac:dyDescent="0.25">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t="s">
        <v>70</v>
      </c>
      <c r="T493" t="s">
        <v>34</v>
      </c>
    </row>
    <row r="494" spans="1:20" x14ac:dyDescent="0.25">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t="s">
        <v>83</v>
      </c>
      <c r="T494" t="s">
        <v>77</v>
      </c>
    </row>
    <row r="495" spans="1:20" x14ac:dyDescent="0.25">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t="s">
        <v>83</v>
      </c>
      <c r="T495" t="s">
        <v>71</v>
      </c>
    </row>
    <row r="496" spans="1:20" x14ac:dyDescent="0.25">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t="s">
        <v>83</v>
      </c>
      <c r="T496" t="s">
        <v>71</v>
      </c>
    </row>
    <row r="497" spans="1:20" x14ac:dyDescent="0.25">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t="s">
        <v>83</v>
      </c>
      <c r="T497" t="s">
        <v>161</v>
      </c>
    </row>
    <row r="498" spans="1:20" x14ac:dyDescent="0.25">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t="s">
        <v>83</v>
      </c>
      <c r="T498" t="s">
        <v>96</v>
      </c>
    </row>
    <row r="499" spans="1:20" x14ac:dyDescent="0.25">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t="s">
        <v>129</v>
      </c>
      <c r="T499" t="s">
        <v>77</v>
      </c>
    </row>
    <row r="500" spans="1:20" x14ac:dyDescent="0.25">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t="s">
        <v>70</v>
      </c>
      <c r="T500" t="s">
        <v>195</v>
      </c>
    </row>
    <row r="501" spans="1:20" x14ac:dyDescent="0.25">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t="s">
        <v>83</v>
      </c>
      <c r="T501" t="s">
        <v>34</v>
      </c>
    </row>
    <row r="502" spans="1:20" x14ac:dyDescent="0.25">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t="s">
        <v>83</v>
      </c>
      <c r="T502" t="s">
        <v>96</v>
      </c>
    </row>
    <row r="503" spans="1:20" x14ac:dyDescent="0.25">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t="s">
        <v>58</v>
      </c>
      <c r="T503" t="s">
        <v>71</v>
      </c>
    </row>
    <row r="504" spans="1:20" x14ac:dyDescent="0.25">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t="s">
        <v>58</v>
      </c>
      <c r="T504" t="s">
        <v>96</v>
      </c>
    </row>
    <row r="505" spans="1:20" x14ac:dyDescent="0.25">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t="s">
        <v>129</v>
      </c>
      <c r="T505" t="s">
        <v>59</v>
      </c>
    </row>
    <row r="506" spans="1:20" x14ac:dyDescent="0.25">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t="s">
        <v>58</v>
      </c>
      <c r="T506" t="s">
        <v>96</v>
      </c>
    </row>
    <row r="507" spans="1:20" x14ac:dyDescent="0.25">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t="s">
        <v>47</v>
      </c>
      <c r="T507" t="s">
        <v>195</v>
      </c>
    </row>
    <row r="508" spans="1:20" x14ac:dyDescent="0.25">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t="s">
        <v>47</v>
      </c>
      <c r="T508" t="s">
        <v>71</v>
      </c>
    </row>
    <row r="509" spans="1:20" x14ac:dyDescent="0.25">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t="s">
        <v>70</v>
      </c>
      <c r="T509" t="s">
        <v>34</v>
      </c>
    </row>
    <row r="510" spans="1:20" x14ac:dyDescent="0.25">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t="s">
        <v>58</v>
      </c>
      <c r="T510" t="s">
        <v>71</v>
      </c>
    </row>
    <row r="511" spans="1:20" x14ac:dyDescent="0.25">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t="s">
        <v>58</v>
      </c>
      <c r="T511" t="s">
        <v>161</v>
      </c>
    </row>
    <row r="512" spans="1:20" x14ac:dyDescent="0.25">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t="s">
        <v>129</v>
      </c>
      <c r="T512" t="s">
        <v>48</v>
      </c>
    </row>
    <row r="513" spans="1:20" x14ac:dyDescent="0.25">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t="s">
        <v>129</v>
      </c>
      <c r="T513" t="s">
        <v>169</v>
      </c>
    </row>
    <row r="514" spans="1:20" x14ac:dyDescent="0.25">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t="s">
        <v>129</v>
      </c>
      <c r="T514" t="s">
        <v>169</v>
      </c>
    </row>
    <row r="515" spans="1:20" x14ac:dyDescent="0.25">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t="s">
        <v>33</v>
      </c>
      <c r="T515" t="s">
        <v>34</v>
      </c>
    </row>
    <row r="516" spans="1:20" x14ac:dyDescent="0.25">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t="s">
        <v>83</v>
      </c>
      <c r="T516" t="s">
        <v>77</v>
      </c>
    </row>
    <row r="517" spans="1:20" x14ac:dyDescent="0.25">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t="s">
        <v>129</v>
      </c>
      <c r="T517" t="s">
        <v>253</v>
      </c>
    </row>
    <row r="518" spans="1:20" x14ac:dyDescent="0.25">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t="s">
        <v>83</v>
      </c>
      <c r="T518" t="s">
        <v>77</v>
      </c>
    </row>
    <row r="519" spans="1:20" x14ac:dyDescent="0.25">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t="s">
        <v>129</v>
      </c>
      <c r="T519" t="s">
        <v>59</v>
      </c>
    </row>
    <row r="520" spans="1:20" x14ac:dyDescent="0.25">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t="s">
        <v>70</v>
      </c>
      <c r="T520" t="s">
        <v>71</v>
      </c>
    </row>
    <row r="521" spans="1:20" x14ac:dyDescent="0.25">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t="s">
        <v>129</v>
      </c>
      <c r="T521" t="s">
        <v>34</v>
      </c>
    </row>
    <row r="522" spans="1:20" x14ac:dyDescent="0.25">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t="s">
        <v>58</v>
      </c>
      <c r="T522" t="s">
        <v>161</v>
      </c>
    </row>
    <row r="523" spans="1:20" x14ac:dyDescent="0.25">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t="s">
        <v>70</v>
      </c>
      <c r="T523" t="s">
        <v>169</v>
      </c>
    </row>
    <row r="524" spans="1:20" x14ac:dyDescent="0.25">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t="s">
        <v>430</v>
      </c>
      <c r="T524" t="s">
        <v>71</v>
      </c>
    </row>
    <row r="525" spans="1:20" x14ac:dyDescent="0.25">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t="s">
        <v>430</v>
      </c>
      <c r="T525" t="s">
        <v>71</v>
      </c>
    </row>
    <row r="526" spans="1:20" x14ac:dyDescent="0.25">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t="s">
        <v>83</v>
      </c>
      <c r="T526" t="s">
        <v>113</v>
      </c>
    </row>
    <row r="527" spans="1:20" x14ac:dyDescent="0.25">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t="s">
        <v>129</v>
      </c>
      <c r="T527" t="s">
        <v>77</v>
      </c>
    </row>
    <row r="528" spans="1:20" x14ac:dyDescent="0.25">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t="s">
        <v>83</v>
      </c>
      <c r="T528" t="s">
        <v>113</v>
      </c>
    </row>
    <row r="529" spans="1:20" x14ac:dyDescent="0.25">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t="s">
        <v>83</v>
      </c>
      <c r="T529" t="s">
        <v>34</v>
      </c>
    </row>
    <row r="530" spans="1:20" x14ac:dyDescent="0.25">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t="s">
        <v>129</v>
      </c>
      <c r="T530" t="s">
        <v>48</v>
      </c>
    </row>
    <row r="531" spans="1:20" x14ac:dyDescent="0.25">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t="s">
        <v>83</v>
      </c>
      <c r="T531" t="s">
        <v>161</v>
      </c>
    </row>
    <row r="532" spans="1:20" x14ac:dyDescent="0.25">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t="s">
        <v>70</v>
      </c>
      <c r="T532" t="s">
        <v>34</v>
      </c>
    </row>
    <row r="533" spans="1:20" x14ac:dyDescent="0.25">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t="s">
        <v>58</v>
      </c>
      <c r="T533" t="s">
        <v>71</v>
      </c>
    </row>
    <row r="534" spans="1:20" x14ac:dyDescent="0.25">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t="s">
        <v>58</v>
      </c>
      <c r="T534" t="s">
        <v>169</v>
      </c>
    </row>
    <row r="535" spans="1:20" x14ac:dyDescent="0.25">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t="s">
        <v>58</v>
      </c>
      <c r="T535" t="s">
        <v>169</v>
      </c>
    </row>
    <row r="536" spans="1:20" x14ac:dyDescent="0.25">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t="s">
        <v>129</v>
      </c>
      <c r="T536" t="s">
        <v>59</v>
      </c>
    </row>
    <row r="537" spans="1:20" x14ac:dyDescent="0.25">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t="s">
        <v>129</v>
      </c>
      <c r="T537" t="s">
        <v>77</v>
      </c>
    </row>
    <row r="538" spans="1:20" x14ac:dyDescent="0.25">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t="s">
        <v>129</v>
      </c>
      <c r="T538" t="s">
        <v>77</v>
      </c>
    </row>
    <row r="539" spans="1:20" x14ac:dyDescent="0.25">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t="s">
        <v>430</v>
      </c>
      <c r="T539" t="s">
        <v>59</v>
      </c>
    </row>
    <row r="540" spans="1:20" x14ac:dyDescent="0.25">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t="s">
        <v>430</v>
      </c>
      <c r="T540" t="s">
        <v>59</v>
      </c>
    </row>
    <row r="541" spans="1:20" x14ac:dyDescent="0.25">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t="s">
        <v>58</v>
      </c>
      <c r="T541" t="s">
        <v>34</v>
      </c>
    </row>
    <row r="542" spans="1:20" x14ac:dyDescent="0.25">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t="s">
        <v>58</v>
      </c>
      <c r="T542" t="s">
        <v>34</v>
      </c>
    </row>
    <row r="543" spans="1:20" x14ac:dyDescent="0.25">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t="s">
        <v>47</v>
      </c>
      <c r="T543" t="s">
        <v>113</v>
      </c>
    </row>
    <row r="544" spans="1:20" x14ac:dyDescent="0.25">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t="s">
        <v>47</v>
      </c>
      <c r="T544" t="s">
        <v>113</v>
      </c>
    </row>
    <row r="545" spans="1:20" x14ac:dyDescent="0.25">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t="s">
        <v>58</v>
      </c>
      <c r="T545" t="s">
        <v>161</v>
      </c>
    </row>
    <row r="546" spans="1:20" x14ac:dyDescent="0.25">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t="s">
        <v>58</v>
      </c>
      <c r="T546" t="s">
        <v>161</v>
      </c>
    </row>
    <row r="547" spans="1:20" x14ac:dyDescent="0.25">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t="s">
        <v>58</v>
      </c>
      <c r="T547" t="s">
        <v>161</v>
      </c>
    </row>
    <row r="548" spans="1:20" x14ac:dyDescent="0.25">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t="s">
        <v>58</v>
      </c>
      <c r="T548" t="s">
        <v>71</v>
      </c>
    </row>
    <row r="549" spans="1:20" x14ac:dyDescent="0.25">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t="s">
        <v>129</v>
      </c>
      <c r="T549" t="s">
        <v>59</v>
      </c>
    </row>
    <row r="550" spans="1:20" x14ac:dyDescent="0.25">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t="s">
        <v>83</v>
      </c>
      <c r="T550" t="s">
        <v>113</v>
      </c>
    </row>
    <row r="551" spans="1:20" x14ac:dyDescent="0.25">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t="s">
        <v>58</v>
      </c>
      <c r="T551" t="s">
        <v>77</v>
      </c>
    </row>
    <row r="552" spans="1:20" x14ac:dyDescent="0.25">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t="s">
        <v>58</v>
      </c>
      <c r="T552" t="s">
        <v>77</v>
      </c>
    </row>
    <row r="553" spans="1:20" x14ac:dyDescent="0.25">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t="s">
        <v>58</v>
      </c>
      <c r="T553" t="s">
        <v>77</v>
      </c>
    </row>
    <row r="554" spans="1:20" x14ac:dyDescent="0.25">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t="s">
        <v>83</v>
      </c>
      <c r="T554" t="s">
        <v>77</v>
      </c>
    </row>
    <row r="555" spans="1:20" x14ac:dyDescent="0.25">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t="s">
        <v>83</v>
      </c>
      <c r="T555" t="s">
        <v>96</v>
      </c>
    </row>
    <row r="556" spans="1:20" x14ac:dyDescent="0.25">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t="s">
        <v>33</v>
      </c>
      <c r="T556" t="s">
        <v>161</v>
      </c>
    </row>
    <row r="557" spans="1:20" x14ac:dyDescent="0.25">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t="s">
        <v>58</v>
      </c>
      <c r="T557" t="s">
        <v>253</v>
      </c>
    </row>
    <row r="558" spans="1:20" x14ac:dyDescent="0.25">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t="s">
        <v>33</v>
      </c>
      <c r="T558" t="s">
        <v>77</v>
      </c>
    </row>
    <row r="559" spans="1:20" x14ac:dyDescent="0.25">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t="s">
        <v>129</v>
      </c>
      <c r="T559" t="s">
        <v>169</v>
      </c>
    </row>
    <row r="560" spans="1:20" x14ac:dyDescent="0.25">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t="s">
        <v>58</v>
      </c>
      <c r="T560" t="s">
        <v>48</v>
      </c>
    </row>
    <row r="561" spans="1:20" x14ac:dyDescent="0.25">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t="s">
        <v>58</v>
      </c>
      <c r="T561" t="s">
        <v>195</v>
      </c>
    </row>
    <row r="562" spans="1:20" x14ac:dyDescent="0.25">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t="s">
        <v>58</v>
      </c>
      <c r="T562" t="s">
        <v>195</v>
      </c>
    </row>
    <row r="563" spans="1:20" x14ac:dyDescent="0.25">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t="s">
        <v>47</v>
      </c>
      <c r="T563" t="s">
        <v>169</v>
      </c>
    </row>
    <row r="564" spans="1:20" x14ac:dyDescent="0.25">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t="s">
        <v>70</v>
      </c>
      <c r="T564" t="s">
        <v>48</v>
      </c>
    </row>
    <row r="565" spans="1:20" x14ac:dyDescent="0.25">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t="s">
        <v>70</v>
      </c>
      <c r="T565" t="s">
        <v>96</v>
      </c>
    </row>
    <row r="566" spans="1:20" x14ac:dyDescent="0.25">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t="s">
        <v>129</v>
      </c>
      <c r="T566" t="s">
        <v>34</v>
      </c>
    </row>
    <row r="567" spans="1:20" x14ac:dyDescent="0.25">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t="s">
        <v>129</v>
      </c>
      <c r="T567" t="s">
        <v>297</v>
      </c>
    </row>
    <row r="568" spans="1:20" x14ac:dyDescent="0.25">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t="s">
        <v>129</v>
      </c>
      <c r="T568" t="s">
        <v>34</v>
      </c>
    </row>
    <row r="569" spans="1:20" x14ac:dyDescent="0.25">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t="s">
        <v>83</v>
      </c>
      <c r="T569" t="s">
        <v>34</v>
      </c>
    </row>
    <row r="570" spans="1:20" x14ac:dyDescent="0.25">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t="s">
        <v>58</v>
      </c>
      <c r="T570" t="s">
        <v>59</v>
      </c>
    </row>
    <row r="571" spans="1:20" x14ac:dyDescent="0.25">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t="s">
        <v>58</v>
      </c>
      <c r="T571" t="s">
        <v>161</v>
      </c>
    </row>
    <row r="572" spans="1:20" x14ac:dyDescent="0.25">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t="s">
        <v>129</v>
      </c>
      <c r="T572" t="s">
        <v>59</v>
      </c>
    </row>
    <row r="573" spans="1:20" x14ac:dyDescent="0.25">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t="s">
        <v>83</v>
      </c>
      <c r="T573" t="s">
        <v>161</v>
      </c>
    </row>
    <row r="574" spans="1:20" x14ac:dyDescent="0.25">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t="s">
        <v>83</v>
      </c>
      <c r="T574" t="s">
        <v>195</v>
      </c>
    </row>
    <row r="575" spans="1:20" x14ac:dyDescent="0.25">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t="s">
        <v>70</v>
      </c>
      <c r="T575" t="s">
        <v>96</v>
      </c>
    </row>
    <row r="576" spans="1:20" x14ac:dyDescent="0.25">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t="s">
        <v>70</v>
      </c>
      <c r="T576" t="s">
        <v>71</v>
      </c>
    </row>
    <row r="577" spans="1:20" x14ac:dyDescent="0.25">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t="s">
        <v>58</v>
      </c>
      <c r="T577" t="s">
        <v>113</v>
      </c>
    </row>
    <row r="578" spans="1:20" x14ac:dyDescent="0.25">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t="s">
        <v>70</v>
      </c>
      <c r="T578" t="s">
        <v>77</v>
      </c>
    </row>
    <row r="579" spans="1:20" x14ac:dyDescent="0.25">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t="s">
        <v>83</v>
      </c>
      <c r="T579" t="s">
        <v>96</v>
      </c>
    </row>
    <row r="580" spans="1:20" x14ac:dyDescent="0.25">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t="s">
        <v>83</v>
      </c>
      <c r="T580" t="s">
        <v>96</v>
      </c>
    </row>
    <row r="581" spans="1:20" x14ac:dyDescent="0.25">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t="s">
        <v>58</v>
      </c>
      <c r="T581" t="s">
        <v>113</v>
      </c>
    </row>
    <row r="582" spans="1:20" x14ac:dyDescent="0.25">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t="s">
        <v>58</v>
      </c>
      <c r="T582" t="s">
        <v>34</v>
      </c>
    </row>
    <row r="583" spans="1:20" x14ac:dyDescent="0.25">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t="s">
        <v>83</v>
      </c>
      <c r="T583" t="s">
        <v>77</v>
      </c>
    </row>
    <row r="584" spans="1:20" x14ac:dyDescent="0.25">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t="s">
        <v>70</v>
      </c>
      <c r="T584" t="s">
        <v>71</v>
      </c>
    </row>
    <row r="585" spans="1:20" x14ac:dyDescent="0.25">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t="s">
        <v>70</v>
      </c>
      <c r="T585" t="s">
        <v>71</v>
      </c>
    </row>
    <row r="586" spans="1:20" x14ac:dyDescent="0.25">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t="s">
        <v>70</v>
      </c>
      <c r="T586" t="s">
        <v>34</v>
      </c>
    </row>
    <row r="587" spans="1:20" x14ac:dyDescent="0.25">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t="s">
        <v>70</v>
      </c>
      <c r="T587" t="s">
        <v>34</v>
      </c>
    </row>
    <row r="588" spans="1:20" x14ac:dyDescent="0.25">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t="s">
        <v>70</v>
      </c>
      <c r="T588" t="s">
        <v>34</v>
      </c>
    </row>
    <row r="589" spans="1:20" x14ac:dyDescent="0.25">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t="s">
        <v>47</v>
      </c>
      <c r="T589" t="s">
        <v>77</v>
      </c>
    </row>
    <row r="590" spans="1:20" x14ac:dyDescent="0.25">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t="s">
        <v>47</v>
      </c>
      <c r="T590" t="s">
        <v>77</v>
      </c>
    </row>
    <row r="591" spans="1:20" x14ac:dyDescent="0.25">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t="s">
        <v>33</v>
      </c>
      <c r="T591" t="s">
        <v>161</v>
      </c>
    </row>
    <row r="592" spans="1:20" x14ac:dyDescent="0.25">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t="s">
        <v>58</v>
      </c>
      <c r="T592" t="s">
        <v>77</v>
      </c>
    </row>
    <row r="593" spans="1:20" x14ac:dyDescent="0.25">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t="s">
        <v>58</v>
      </c>
      <c r="T593" t="s">
        <v>195</v>
      </c>
    </row>
    <row r="594" spans="1:20" x14ac:dyDescent="0.25">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t="s">
        <v>83</v>
      </c>
      <c r="T594" t="s">
        <v>96</v>
      </c>
    </row>
    <row r="595" spans="1:20" x14ac:dyDescent="0.25">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t="s">
        <v>47</v>
      </c>
      <c r="T595" t="s">
        <v>113</v>
      </c>
    </row>
    <row r="596" spans="1:20" x14ac:dyDescent="0.25">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t="s">
        <v>70</v>
      </c>
      <c r="T596" t="s">
        <v>195</v>
      </c>
    </row>
    <row r="597" spans="1:20" x14ac:dyDescent="0.25">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t="s">
        <v>70</v>
      </c>
      <c r="T597" t="s">
        <v>195</v>
      </c>
    </row>
    <row r="598" spans="1:20" x14ac:dyDescent="0.25">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t="s">
        <v>33</v>
      </c>
      <c r="T598" t="s">
        <v>253</v>
      </c>
    </row>
    <row r="599" spans="1:20" x14ac:dyDescent="0.25">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t="s">
        <v>70</v>
      </c>
      <c r="T599" t="s">
        <v>253</v>
      </c>
    </row>
    <row r="600" spans="1:20" x14ac:dyDescent="0.25">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t="s">
        <v>83</v>
      </c>
      <c r="T600" t="s">
        <v>161</v>
      </c>
    </row>
    <row r="601" spans="1:20" x14ac:dyDescent="0.25">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t="s">
        <v>47</v>
      </c>
      <c r="T601" t="s">
        <v>59</v>
      </c>
    </row>
    <row r="602" spans="1:20" x14ac:dyDescent="0.25">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t="s">
        <v>83</v>
      </c>
      <c r="T602" t="s">
        <v>195</v>
      </c>
    </row>
    <row r="603" spans="1:20" x14ac:dyDescent="0.25">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t="s">
        <v>70</v>
      </c>
      <c r="T603" t="s">
        <v>169</v>
      </c>
    </row>
    <row r="604" spans="1:20" x14ac:dyDescent="0.25">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t="s">
        <v>70</v>
      </c>
      <c r="T604" t="s">
        <v>169</v>
      </c>
    </row>
    <row r="605" spans="1:20" x14ac:dyDescent="0.25">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t="s">
        <v>58</v>
      </c>
      <c r="T605" t="s">
        <v>34</v>
      </c>
    </row>
    <row r="606" spans="1:20" x14ac:dyDescent="0.25">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t="s">
        <v>83</v>
      </c>
      <c r="T606" t="s">
        <v>48</v>
      </c>
    </row>
    <row r="607" spans="1:20" x14ac:dyDescent="0.25">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t="s">
        <v>70</v>
      </c>
      <c r="T607" t="s">
        <v>113</v>
      </c>
    </row>
    <row r="608" spans="1:20" x14ac:dyDescent="0.25">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t="s">
        <v>129</v>
      </c>
      <c r="T608" t="s">
        <v>48</v>
      </c>
    </row>
    <row r="609" spans="1:20" x14ac:dyDescent="0.25">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t="s">
        <v>83</v>
      </c>
      <c r="T609" t="s">
        <v>113</v>
      </c>
    </row>
    <row r="610" spans="1:20" x14ac:dyDescent="0.25">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t="s">
        <v>83</v>
      </c>
      <c r="T610" t="s">
        <v>59</v>
      </c>
    </row>
    <row r="611" spans="1:20" x14ac:dyDescent="0.25">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t="s">
        <v>430</v>
      </c>
      <c r="T611" t="s">
        <v>34</v>
      </c>
    </row>
    <row r="612" spans="1:20" x14ac:dyDescent="0.25">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t="s">
        <v>430</v>
      </c>
      <c r="T612" t="s">
        <v>34</v>
      </c>
    </row>
    <row r="613" spans="1:20" x14ac:dyDescent="0.25">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t="s">
        <v>33</v>
      </c>
      <c r="T613" t="s">
        <v>77</v>
      </c>
    </row>
    <row r="614" spans="1:20" x14ac:dyDescent="0.25">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t="s">
        <v>83</v>
      </c>
      <c r="T614" t="s">
        <v>71</v>
      </c>
    </row>
    <row r="615" spans="1:20" x14ac:dyDescent="0.25">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t="s">
        <v>129</v>
      </c>
      <c r="T615" t="s">
        <v>34</v>
      </c>
    </row>
    <row r="616" spans="1:20" x14ac:dyDescent="0.25">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t="s">
        <v>430</v>
      </c>
      <c r="T616" t="s">
        <v>253</v>
      </c>
    </row>
    <row r="617" spans="1:20" x14ac:dyDescent="0.25">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t="s">
        <v>129</v>
      </c>
      <c r="T617" t="s">
        <v>195</v>
      </c>
    </row>
    <row r="618" spans="1:20" x14ac:dyDescent="0.25">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t="s">
        <v>129</v>
      </c>
      <c r="T618" t="s">
        <v>195</v>
      </c>
    </row>
    <row r="619" spans="1:20" x14ac:dyDescent="0.25">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t="s">
        <v>129</v>
      </c>
      <c r="T619" t="s">
        <v>195</v>
      </c>
    </row>
    <row r="620" spans="1:20" x14ac:dyDescent="0.25">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t="s">
        <v>58</v>
      </c>
      <c r="T620" t="s">
        <v>34</v>
      </c>
    </row>
    <row r="621" spans="1:20" x14ac:dyDescent="0.25">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t="s">
        <v>123</v>
      </c>
      <c r="T621" t="s">
        <v>34</v>
      </c>
    </row>
    <row r="622" spans="1:20" x14ac:dyDescent="0.25">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t="s">
        <v>83</v>
      </c>
      <c r="T622" t="s">
        <v>96</v>
      </c>
    </row>
    <row r="623" spans="1:20" x14ac:dyDescent="0.25">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t="s">
        <v>430</v>
      </c>
      <c r="T623" t="s">
        <v>34</v>
      </c>
    </row>
    <row r="624" spans="1:20" x14ac:dyDescent="0.25">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t="s">
        <v>430</v>
      </c>
      <c r="T624" t="s">
        <v>34</v>
      </c>
    </row>
    <row r="625" spans="1:20" x14ac:dyDescent="0.25">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t="s">
        <v>47</v>
      </c>
      <c r="T625" t="s">
        <v>59</v>
      </c>
    </row>
    <row r="626" spans="1:20" x14ac:dyDescent="0.25">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t="s">
        <v>58</v>
      </c>
      <c r="T626" t="s">
        <v>96</v>
      </c>
    </row>
    <row r="627" spans="1:20" x14ac:dyDescent="0.25">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t="s">
        <v>58</v>
      </c>
      <c r="T627" t="s">
        <v>96</v>
      </c>
    </row>
    <row r="628" spans="1:20" x14ac:dyDescent="0.25">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t="s">
        <v>58</v>
      </c>
      <c r="T628" t="s">
        <v>96</v>
      </c>
    </row>
    <row r="629" spans="1:20" x14ac:dyDescent="0.25">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t="s">
        <v>83</v>
      </c>
      <c r="T629" t="s">
        <v>96</v>
      </c>
    </row>
    <row r="630" spans="1:20" x14ac:dyDescent="0.25">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t="s">
        <v>33</v>
      </c>
      <c r="T630" t="s">
        <v>34</v>
      </c>
    </row>
    <row r="631" spans="1:20" x14ac:dyDescent="0.25">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t="s">
        <v>58</v>
      </c>
      <c r="T631" t="s">
        <v>161</v>
      </c>
    </row>
    <row r="632" spans="1:20" x14ac:dyDescent="0.25">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t="s">
        <v>430</v>
      </c>
      <c r="T632" t="s">
        <v>96</v>
      </c>
    </row>
    <row r="633" spans="1:20" x14ac:dyDescent="0.25">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t="s">
        <v>33</v>
      </c>
      <c r="T633" t="s">
        <v>169</v>
      </c>
    </row>
    <row r="634" spans="1:20" x14ac:dyDescent="0.25">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t="s">
        <v>58</v>
      </c>
      <c r="T634" t="s">
        <v>59</v>
      </c>
    </row>
    <row r="635" spans="1:20" x14ac:dyDescent="0.25">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t="s">
        <v>129</v>
      </c>
      <c r="T635" t="s">
        <v>71</v>
      </c>
    </row>
    <row r="636" spans="1:20" x14ac:dyDescent="0.25">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t="s">
        <v>58</v>
      </c>
      <c r="T636" t="s">
        <v>96</v>
      </c>
    </row>
    <row r="637" spans="1:20" x14ac:dyDescent="0.25">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t="s">
        <v>58</v>
      </c>
      <c r="T637" t="s">
        <v>161</v>
      </c>
    </row>
    <row r="638" spans="1:20" x14ac:dyDescent="0.25">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t="s">
        <v>83</v>
      </c>
      <c r="T638" t="s">
        <v>59</v>
      </c>
    </row>
    <row r="639" spans="1:20" x14ac:dyDescent="0.25">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t="s">
        <v>123</v>
      </c>
      <c r="T639" t="s">
        <v>96</v>
      </c>
    </row>
    <row r="640" spans="1:20" x14ac:dyDescent="0.25">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t="s">
        <v>83</v>
      </c>
      <c r="T640" t="s">
        <v>77</v>
      </c>
    </row>
    <row r="641" spans="1:20" x14ac:dyDescent="0.25">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t="s">
        <v>47</v>
      </c>
      <c r="T641" t="s">
        <v>253</v>
      </c>
    </row>
    <row r="642" spans="1:20" x14ac:dyDescent="0.25">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t="s">
        <v>129</v>
      </c>
      <c r="T642" t="s">
        <v>34</v>
      </c>
    </row>
    <row r="643" spans="1:20" x14ac:dyDescent="0.25">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t="s">
        <v>129</v>
      </c>
      <c r="T643" t="s">
        <v>34</v>
      </c>
    </row>
    <row r="644" spans="1:20" x14ac:dyDescent="0.25">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t="s">
        <v>83</v>
      </c>
      <c r="T644" t="s">
        <v>113</v>
      </c>
    </row>
    <row r="645" spans="1:20" x14ac:dyDescent="0.25">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t="s">
        <v>83</v>
      </c>
      <c r="T645" t="s">
        <v>96</v>
      </c>
    </row>
    <row r="646" spans="1:20" x14ac:dyDescent="0.25">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t="s">
        <v>129</v>
      </c>
      <c r="T646" t="s">
        <v>77</v>
      </c>
    </row>
    <row r="647" spans="1:20" x14ac:dyDescent="0.25">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t="s">
        <v>58</v>
      </c>
      <c r="T647" t="s">
        <v>34</v>
      </c>
    </row>
    <row r="648" spans="1:20" x14ac:dyDescent="0.25">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t="s">
        <v>58</v>
      </c>
      <c r="T648" t="s">
        <v>59</v>
      </c>
    </row>
    <row r="649" spans="1:20" x14ac:dyDescent="0.25">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t="s">
        <v>58</v>
      </c>
      <c r="T649" t="s">
        <v>48</v>
      </c>
    </row>
    <row r="650" spans="1:20" x14ac:dyDescent="0.25">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t="s">
        <v>83</v>
      </c>
      <c r="T650" t="s">
        <v>161</v>
      </c>
    </row>
    <row r="651" spans="1:20" x14ac:dyDescent="0.25">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t="s">
        <v>123</v>
      </c>
      <c r="T651" t="s">
        <v>77</v>
      </c>
    </row>
    <row r="652" spans="1:20" x14ac:dyDescent="0.25">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t="s">
        <v>70</v>
      </c>
      <c r="T652" t="s">
        <v>113</v>
      </c>
    </row>
    <row r="653" spans="1:20" x14ac:dyDescent="0.25">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t="s">
        <v>58</v>
      </c>
      <c r="T653" t="s">
        <v>48</v>
      </c>
    </row>
    <row r="654" spans="1:20" x14ac:dyDescent="0.25">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t="s">
        <v>58</v>
      </c>
      <c r="T654" t="s">
        <v>48</v>
      </c>
    </row>
    <row r="655" spans="1:20" x14ac:dyDescent="0.25">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t="s">
        <v>58</v>
      </c>
      <c r="T655" t="s">
        <v>48</v>
      </c>
    </row>
    <row r="656" spans="1:20" x14ac:dyDescent="0.25">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t="s">
        <v>58</v>
      </c>
      <c r="T656" t="s">
        <v>34</v>
      </c>
    </row>
    <row r="657" spans="1:20" x14ac:dyDescent="0.25">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t="s">
        <v>58</v>
      </c>
      <c r="T657" t="s">
        <v>48</v>
      </c>
    </row>
    <row r="658" spans="1:20" x14ac:dyDescent="0.25">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t="s">
        <v>83</v>
      </c>
      <c r="T658" t="s">
        <v>71</v>
      </c>
    </row>
    <row r="659" spans="1:20" x14ac:dyDescent="0.25">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t="s">
        <v>83</v>
      </c>
      <c r="T659" t="s">
        <v>71</v>
      </c>
    </row>
    <row r="660" spans="1:20" x14ac:dyDescent="0.25">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t="s">
        <v>58</v>
      </c>
      <c r="T660" t="s">
        <v>297</v>
      </c>
    </row>
    <row r="661" spans="1:20" x14ac:dyDescent="0.25">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t="s">
        <v>70</v>
      </c>
      <c r="T661" t="s">
        <v>195</v>
      </c>
    </row>
    <row r="662" spans="1:20" x14ac:dyDescent="0.25">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t="s">
        <v>83</v>
      </c>
      <c r="T662" t="s">
        <v>113</v>
      </c>
    </row>
    <row r="663" spans="1:20" x14ac:dyDescent="0.25">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t="s">
        <v>58</v>
      </c>
      <c r="T663" t="s">
        <v>113</v>
      </c>
    </row>
    <row r="664" spans="1:20" x14ac:dyDescent="0.25">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t="s">
        <v>58</v>
      </c>
      <c r="T664" t="s">
        <v>96</v>
      </c>
    </row>
    <row r="665" spans="1:20" x14ac:dyDescent="0.25">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t="s">
        <v>47</v>
      </c>
      <c r="T665" t="s">
        <v>253</v>
      </c>
    </row>
    <row r="666" spans="1:20" x14ac:dyDescent="0.25">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t="s">
        <v>123</v>
      </c>
      <c r="T666" t="s">
        <v>59</v>
      </c>
    </row>
    <row r="667" spans="1:20" x14ac:dyDescent="0.25">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t="s">
        <v>123</v>
      </c>
      <c r="T667" t="s">
        <v>59</v>
      </c>
    </row>
    <row r="668" spans="1:20" x14ac:dyDescent="0.25">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t="s">
        <v>123</v>
      </c>
      <c r="T668" t="s">
        <v>96</v>
      </c>
    </row>
    <row r="669" spans="1:20" x14ac:dyDescent="0.25">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t="s">
        <v>123</v>
      </c>
      <c r="T669" t="s">
        <v>96</v>
      </c>
    </row>
    <row r="670" spans="1:20" x14ac:dyDescent="0.25">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t="s">
        <v>70</v>
      </c>
      <c r="T670" t="s">
        <v>253</v>
      </c>
    </row>
    <row r="671" spans="1:20" x14ac:dyDescent="0.25">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t="s">
        <v>129</v>
      </c>
      <c r="T671" t="s">
        <v>34</v>
      </c>
    </row>
    <row r="672" spans="1:20" x14ac:dyDescent="0.25">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t="s">
        <v>129</v>
      </c>
      <c r="T672" t="s">
        <v>77</v>
      </c>
    </row>
    <row r="673" spans="1:20" x14ac:dyDescent="0.25">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t="s">
        <v>70</v>
      </c>
      <c r="T673" t="s">
        <v>297</v>
      </c>
    </row>
    <row r="674" spans="1:20" x14ac:dyDescent="0.25">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t="s">
        <v>33</v>
      </c>
      <c r="T674" t="s">
        <v>96</v>
      </c>
    </row>
    <row r="675" spans="1:20" x14ac:dyDescent="0.25">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t="s">
        <v>83</v>
      </c>
      <c r="T675" t="s">
        <v>253</v>
      </c>
    </row>
    <row r="676" spans="1:20" x14ac:dyDescent="0.25">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t="s">
        <v>70</v>
      </c>
      <c r="T676" t="s">
        <v>48</v>
      </c>
    </row>
    <row r="677" spans="1:20" x14ac:dyDescent="0.25">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t="s">
        <v>129</v>
      </c>
      <c r="T677" t="s">
        <v>161</v>
      </c>
    </row>
    <row r="678" spans="1:20" x14ac:dyDescent="0.25">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t="s">
        <v>47</v>
      </c>
      <c r="T678" t="s">
        <v>195</v>
      </c>
    </row>
    <row r="679" spans="1:20" x14ac:dyDescent="0.25">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t="s">
        <v>129</v>
      </c>
      <c r="T679" t="s">
        <v>77</v>
      </c>
    </row>
    <row r="680" spans="1:20" x14ac:dyDescent="0.25">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t="s">
        <v>129</v>
      </c>
      <c r="T680" t="s">
        <v>96</v>
      </c>
    </row>
    <row r="681" spans="1:20" x14ac:dyDescent="0.25">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t="s">
        <v>129</v>
      </c>
      <c r="T681" t="s">
        <v>96</v>
      </c>
    </row>
    <row r="682" spans="1:20" x14ac:dyDescent="0.25">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t="s">
        <v>70</v>
      </c>
      <c r="T682" t="s">
        <v>161</v>
      </c>
    </row>
    <row r="683" spans="1:20" x14ac:dyDescent="0.25">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t="s">
        <v>129</v>
      </c>
      <c r="T683" t="s">
        <v>34</v>
      </c>
    </row>
    <row r="684" spans="1:20" x14ac:dyDescent="0.25">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t="s">
        <v>129</v>
      </c>
      <c r="T684" t="s">
        <v>34</v>
      </c>
    </row>
    <row r="685" spans="1:20" x14ac:dyDescent="0.25">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t="s">
        <v>83</v>
      </c>
      <c r="T685" t="s">
        <v>77</v>
      </c>
    </row>
    <row r="686" spans="1:20" x14ac:dyDescent="0.25">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t="s">
        <v>430</v>
      </c>
      <c r="T686" t="s">
        <v>169</v>
      </c>
    </row>
    <row r="687" spans="1:20" x14ac:dyDescent="0.25">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t="s">
        <v>47</v>
      </c>
      <c r="T687" t="s">
        <v>34</v>
      </c>
    </row>
    <row r="688" spans="1:20" x14ac:dyDescent="0.25">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t="s">
        <v>47</v>
      </c>
      <c r="T688" t="s">
        <v>34</v>
      </c>
    </row>
    <row r="689" spans="1:20" x14ac:dyDescent="0.25">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t="s">
        <v>83</v>
      </c>
      <c r="T689" t="s">
        <v>96</v>
      </c>
    </row>
    <row r="690" spans="1:20" x14ac:dyDescent="0.25">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t="s">
        <v>83</v>
      </c>
      <c r="T690" t="s">
        <v>77</v>
      </c>
    </row>
    <row r="691" spans="1:20" x14ac:dyDescent="0.25">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t="s">
        <v>70</v>
      </c>
      <c r="T691" t="s">
        <v>113</v>
      </c>
    </row>
    <row r="692" spans="1:20" x14ac:dyDescent="0.25">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t="s">
        <v>58</v>
      </c>
      <c r="T692" t="s">
        <v>96</v>
      </c>
    </row>
    <row r="693" spans="1:20" x14ac:dyDescent="0.25">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t="s">
        <v>47</v>
      </c>
      <c r="T693" t="s">
        <v>297</v>
      </c>
    </row>
    <row r="694" spans="1:20" x14ac:dyDescent="0.25">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t="s">
        <v>129</v>
      </c>
      <c r="T694" t="s">
        <v>77</v>
      </c>
    </row>
    <row r="695" spans="1:20" x14ac:dyDescent="0.25">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t="s">
        <v>83</v>
      </c>
      <c r="T695" t="s">
        <v>96</v>
      </c>
    </row>
    <row r="696" spans="1:20" x14ac:dyDescent="0.25">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t="s">
        <v>83</v>
      </c>
      <c r="T696" t="s">
        <v>34</v>
      </c>
    </row>
    <row r="697" spans="1:20" x14ac:dyDescent="0.25">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t="s">
        <v>58</v>
      </c>
      <c r="T697" t="s">
        <v>195</v>
      </c>
    </row>
    <row r="698" spans="1:20" x14ac:dyDescent="0.25">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t="s">
        <v>83</v>
      </c>
      <c r="T698" t="s">
        <v>77</v>
      </c>
    </row>
    <row r="699" spans="1:20" x14ac:dyDescent="0.25">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t="s">
        <v>83</v>
      </c>
      <c r="T699" t="s">
        <v>96</v>
      </c>
    </row>
    <row r="700" spans="1:20" x14ac:dyDescent="0.25">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t="s">
        <v>58</v>
      </c>
      <c r="T700" t="s">
        <v>34</v>
      </c>
    </row>
    <row r="701" spans="1:20" x14ac:dyDescent="0.25">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t="s">
        <v>58</v>
      </c>
      <c r="T701" t="s">
        <v>96</v>
      </c>
    </row>
    <row r="702" spans="1:20" x14ac:dyDescent="0.25">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t="s">
        <v>83</v>
      </c>
      <c r="T702" t="s">
        <v>71</v>
      </c>
    </row>
    <row r="703" spans="1:20" x14ac:dyDescent="0.25">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t="s">
        <v>129</v>
      </c>
      <c r="T703" t="s">
        <v>96</v>
      </c>
    </row>
    <row r="704" spans="1:20" x14ac:dyDescent="0.25">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t="s">
        <v>123</v>
      </c>
      <c r="T704" t="s">
        <v>253</v>
      </c>
    </row>
    <row r="705" spans="1:20" x14ac:dyDescent="0.25">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t="s">
        <v>123</v>
      </c>
      <c r="T705" t="s">
        <v>253</v>
      </c>
    </row>
    <row r="706" spans="1:20" x14ac:dyDescent="0.25">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t="s">
        <v>58</v>
      </c>
      <c r="T706" t="s">
        <v>253</v>
      </c>
    </row>
    <row r="707" spans="1:20" x14ac:dyDescent="0.25">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t="s">
        <v>58</v>
      </c>
      <c r="T707" t="s">
        <v>77</v>
      </c>
    </row>
    <row r="708" spans="1:20" x14ac:dyDescent="0.25">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t="s">
        <v>58</v>
      </c>
      <c r="T708" t="s">
        <v>71</v>
      </c>
    </row>
    <row r="709" spans="1:20" x14ac:dyDescent="0.25">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t="s">
        <v>83</v>
      </c>
      <c r="T709" t="s">
        <v>59</v>
      </c>
    </row>
    <row r="710" spans="1:20" x14ac:dyDescent="0.25">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t="s">
        <v>70</v>
      </c>
      <c r="T710" t="s">
        <v>71</v>
      </c>
    </row>
    <row r="711" spans="1:20" x14ac:dyDescent="0.25">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t="s">
        <v>70</v>
      </c>
      <c r="T711" t="s">
        <v>169</v>
      </c>
    </row>
    <row r="712" spans="1:20" x14ac:dyDescent="0.25">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t="s">
        <v>83</v>
      </c>
      <c r="T712" t="s">
        <v>34</v>
      </c>
    </row>
    <row r="713" spans="1:20" x14ac:dyDescent="0.25">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t="s">
        <v>129</v>
      </c>
      <c r="T713" t="s">
        <v>96</v>
      </c>
    </row>
    <row r="714" spans="1:20" x14ac:dyDescent="0.25">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t="s">
        <v>129</v>
      </c>
      <c r="T714" t="s">
        <v>96</v>
      </c>
    </row>
    <row r="715" spans="1:20" x14ac:dyDescent="0.25">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t="s">
        <v>129</v>
      </c>
      <c r="T715" t="s">
        <v>96</v>
      </c>
    </row>
    <row r="716" spans="1:20" x14ac:dyDescent="0.25">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t="s">
        <v>123</v>
      </c>
      <c r="T716" t="s">
        <v>34</v>
      </c>
    </row>
    <row r="717" spans="1:20" x14ac:dyDescent="0.25">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t="s">
        <v>58</v>
      </c>
      <c r="T717" t="s">
        <v>96</v>
      </c>
    </row>
    <row r="718" spans="1:20" x14ac:dyDescent="0.25">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t="s">
        <v>83</v>
      </c>
      <c r="T718" t="s">
        <v>48</v>
      </c>
    </row>
    <row r="719" spans="1:20" x14ac:dyDescent="0.25">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t="s">
        <v>123</v>
      </c>
      <c r="T719" t="s">
        <v>161</v>
      </c>
    </row>
    <row r="720" spans="1:20" x14ac:dyDescent="0.25">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t="s">
        <v>47</v>
      </c>
      <c r="T720" t="s">
        <v>161</v>
      </c>
    </row>
    <row r="721" spans="1:20" x14ac:dyDescent="0.25">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t="s">
        <v>83</v>
      </c>
      <c r="T721" t="s">
        <v>113</v>
      </c>
    </row>
    <row r="722" spans="1:20" x14ac:dyDescent="0.25">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t="s">
        <v>83</v>
      </c>
      <c r="T722" t="s">
        <v>113</v>
      </c>
    </row>
    <row r="723" spans="1:20" x14ac:dyDescent="0.25">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t="s">
        <v>83</v>
      </c>
      <c r="T723" t="s">
        <v>113</v>
      </c>
    </row>
    <row r="724" spans="1:20" x14ac:dyDescent="0.25">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t="s">
        <v>47</v>
      </c>
      <c r="T724" t="s">
        <v>77</v>
      </c>
    </row>
    <row r="725" spans="1:20" x14ac:dyDescent="0.25">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t="s">
        <v>83</v>
      </c>
      <c r="T725" t="s">
        <v>77</v>
      </c>
    </row>
    <row r="726" spans="1:20" x14ac:dyDescent="0.25">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t="s">
        <v>33</v>
      </c>
      <c r="T726" t="s">
        <v>71</v>
      </c>
    </row>
    <row r="727" spans="1:20" x14ac:dyDescent="0.25">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t="s">
        <v>123</v>
      </c>
      <c r="T727" t="s">
        <v>96</v>
      </c>
    </row>
    <row r="728" spans="1:20" x14ac:dyDescent="0.25">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t="s">
        <v>70</v>
      </c>
      <c r="T728" t="s">
        <v>77</v>
      </c>
    </row>
    <row r="729" spans="1:20" x14ac:dyDescent="0.25">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t="s">
        <v>430</v>
      </c>
      <c r="T729" t="s">
        <v>48</v>
      </c>
    </row>
    <row r="730" spans="1:20" x14ac:dyDescent="0.25">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t="s">
        <v>430</v>
      </c>
      <c r="T730" t="s">
        <v>48</v>
      </c>
    </row>
    <row r="731" spans="1:20" x14ac:dyDescent="0.25">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t="s">
        <v>70</v>
      </c>
      <c r="T731" t="s">
        <v>77</v>
      </c>
    </row>
    <row r="732" spans="1:20" x14ac:dyDescent="0.25">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t="s">
        <v>83</v>
      </c>
      <c r="T732" t="s">
        <v>77</v>
      </c>
    </row>
    <row r="733" spans="1:20" x14ac:dyDescent="0.25">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t="s">
        <v>58</v>
      </c>
      <c r="T733" t="s">
        <v>96</v>
      </c>
    </row>
    <row r="734" spans="1:20" x14ac:dyDescent="0.25">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t="s">
        <v>83</v>
      </c>
      <c r="T734" t="s">
        <v>96</v>
      </c>
    </row>
    <row r="735" spans="1:20" x14ac:dyDescent="0.25">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t="s">
        <v>47</v>
      </c>
      <c r="T735" t="s">
        <v>195</v>
      </c>
    </row>
    <row r="736" spans="1:20" x14ac:dyDescent="0.25">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t="s">
        <v>129</v>
      </c>
      <c r="T736" t="s">
        <v>96</v>
      </c>
    </row>
    <row r="737" spans="1:20" x14ac:dyDescent="0.25">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t="s">
        <v>33</v>
      </c>
      <c r="T737" t="s">
        <v>113</v>
      </c>
    </row>
    <row r="738" spans="1:20" x14ac:dyDescent="0.25">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t="s">
        <v>70</v>
      </c>
      <c r="T738" t="s">
        <v>253</v>
      </c>
    </row>
    <row r="739" spans="1:20" x14ac:dyDescent="0.25">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t="s">
        <v>70</v>
      </c>
      <c r="T739" t="s">
        <v>253</v>
      </c>
    </row>
    <row r="740" spans="1:20" x14ac:dyDescent="0.25">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t="s">
        <v>83</v>
      </c>
      <c r="T740" t="s">
        <v>71</v>
      </c>
    </row>
    <row r="741" spans="1:20" x14ac:dyDescent="0.25">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t="s">
        <v>83</v>
      </c>
      <c r="T741" t="s">
        <v>71</v>
      </c>
    </row>
    <row r="742" spans="1:20" x14ac:dyDescent="0.25">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t="s">
        <v>83</v>
      </c>
      <c r="T742" t="s">
        <v>77</v>
      </c>
    </row>
    <row r="743" spans="1:20" x14ac:dyDescent="0.25">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t="s">
        <v>47</v>
      </c>
      <c r="T743" t="s">
        <v>253</v>
      </c>
    </row>
    <row r="744" spans="1:20" x14ac:dyDescent="0.25">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t="s">
        <v>83</v>
      </c>
      <c r="T744" t="s">
        <v>59</v>
      </c>
    </row>
    <row r="745" spans="1:20" x14ac:dyDescent="0.25">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t="s">
        <v>70</v>
      </c>
      <c r="T745" t="s">
        <v>77</v>
      </c>
    </row>
    <row r="746" spans="1:20" x14ac:dyDescent="0.25">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t="s">
        <v>33</v>
      </c>
      <c r="T746" t="s">
        <v>59</v>
      </c>
    </row>
    <row r="747" spans="1:20" x14ac:dyDescent="0.25">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t="s">
        <v>70</v>
      </c>
      <c r="T747" t="s">
        <v>77</v>
      </c>
    </row>
    <row r="748" spans="1:20" x14ac:dyDescent="0.25">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t="s">
        <v>70</v>
      </c>
      <c r="T748" t="s">
        <v>77</v>
      </c>
    </row>
    <row r="749" spans="1:20" x14ac:dyDescent="0.25">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t="s">
        <v>70</v>
      </c>
      <c r="T749" t="s">
        <v>48</v>
      </c>
    </row>
    <row r="750" spans="1:20" x14ac:dyDescent="0.25">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t="s">
        <v>83</v>
      </c>
      <c r="T750" t="s">
        <v>195</v>
      </c>
    </row>
    <row r="751" spans="1:20" x14ac:dyDescent="0.25">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t="s">
        <v>58</v>
      </c>
      <c r="T751" t="s">
        <v>77</v>
      </c>
    </row>
    <row r="752" spans="1:20" x14ac:dyDescent="0.25">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t="s">
        <v>83</v>
      </c>
      <c r="T752" t="s">
        <v>71</v>
      </c>
    </row>
    <row r="753" spans="1:20" x14ac:dyDescent="0.25">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t="s">
        <v>129</v>
      </c>
      <c r="T753" t="s">
        <v>96</v>
      </c>
    </row>
    <row r="754" spans="1:20" x14ac:dyDescent="0.25">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t="s">
        <v>129</v>
      </c>
      <c r="T754" t="s">
        <v>96</v>
      </c>
    </row>
    <row r="755" spans="1:20" x14ac:dyDescent="0.25">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t="s">
        <v>58</v>
      </c>
      <c r="T755" t="s">
        <v>77</v>
      </c>
    </row>
    <row r="756" spans="1:20" x14ac:dyDescent="0.25">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t="s">
        <v>47</v>
      </c>
      <c r="T756" t="s">
        <v>34</v>
      </c>
    </row>
    <row r="757" spans="1:20" x14ac:dyDescent="0.25">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t="s">
        <v>129</v>
      </c>
      <c r="T757" t="s">
        <v>253</v>
      </c>
    </row>
    <row r="758" spans="1:20" x14ac:dyDescent="0.25">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t="s">
        <v>129</v>
      </c>
      <c r="T758" t="s">
        <v>253</v>
      </c>
    </row>
    <row r="759" spans="1:20" x14ac:dyDescent="0.25">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t="s">
        <v>70</v>
      </c>
      <c r="T759" t="s">
        <v>34</v>
      </c>
    </row>
    <row r="760" spans="1:20" x14ac:dyDescent="0.25">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t="s">
        <v>58</v>
      </c>
      <c r="T760" t="s">
        <v>77</v>
      </c>
    </row>
    <row r="761" spans="1:20" x14ac:dyDescent="0.25">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t="s">
        <v>70</v>
      </c>
      <c r="T761" t="s">
        <v>161</v>
      </c>
    </row>
    <row r="762" spans="1:20" x14ac:dyDescent="0.25">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t="s">
        <v>83</v>
      </c>
      <c r="T762" t="s">
        <v>34</v>
      </c>
    </row>
    <row r="763" spans="1:20" x14ac:dyDescent="0.25">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t="s">
        <v>58</v>
      </c>
      <c r="T763" t="s">
        <v>195</v>
      </c>
    </row>
    <row r="764" spans="1:20" x14ac:dyDescent="0.25">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t="s">
        <v>58</v>
      </c>
      <c r="T764" t="s">
        <v>195</v>
      </c>
    </row>
    <row r="765" spans="1:20" x14ac:dyDescent="0.25">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t="s">
        <v>58</v>
      </c>
      <c r="T765" t="s">
        <v>34</v>
      </c>
    </row>
    <row r="766" spans="1:20" x14ac:dyDescent="0.25">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t="s">
        <v>83</v>
      </c>
      <c r="T766" t="s">
        <v>96</v>
      </c>
    </row>
    <row r="767" spans="1:20" x14ac:dyDescent="0.25">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t="s">
        <v>58</v>
      </c>
      <c r="T767" t="s">
        <v>71</v>
      </c>
    </row>
    <row r="768" spans="1:20" x14ac:dyDescent="0.25">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t="s">
        <v>33</v>
      </c>
      <c r="T768" t="s">
        <v>48</v>
      </c>
    </row>
    <row r="769" spans="1:20" x14ac:dyDescent="0.25">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t="s">
        <v>70</v>
      </c>
      <c r="T769" t="s">
        <v>34</v>
      </c>
    </row>
    <row r="770" spans="1:20" x14ac:dyDescent="0.25">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t="s">
        <v>58</v>
      </c>
      <c r="T770" t="s">
        <v>96</v>
      </c>
    </row>
    <row r="771" spans="1:20" x14ac:dyDescent="0.25">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t="s">
        <v>83</v>
      </c>
      <c r="T771" t="s">
        <v>169</v>
      </c>
    </row>
    <row r="772" spans="1:20" x14ac:dyDescent="0.25">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t="s">
        <v>83</v>
      </c>
      <c r="T772" t="s">
        <v>34</v>
      </c>
    </row>
    <row r="773" spans="1:20" x14ac:dyDescent="0.25">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t="s">
        <v>70</v>
      </c>
      <c r="T773" t="s">
        <v>48</v>
      </c>
    </row>
    <row r="774" spans="1:20" x14ac:dyDescent="0.25">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t="s">
        <v>33</v>
      </c>
      <c r="T774" t="s">
        <v>113</v>
      </c>
    </row>
    <row r="775" spans="1:20" x14ac:dyDescent="0.25">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t="s">
        <v>70</v>
      </c>
      <c r="T775" t="s">
        <v>96</v>
      </c>
    </row>
    <row r="776" spans="1:20" x14ac:dyDescent="0.25">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t="s">
        <v>83</v>
      </c>
      <c r="T776" t="s">
        <v>96</v>
      </c>
    </row>
    <row r="777" spans="1:20" x14ac:dyDescent="0.25">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t="s">
        <v>58</v>
      </c>
      <c r="T777" t="s">
        <v>195</v>
      </c>
    </row>
    <row r="778" spans="1:20" x14ac:dyDescent="0.25">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t="s">
        <v>58</v>
      </c>
      <c r="T778" t="s">
        <v>77</v>
      </c>
    </row>
    <row r="779" spans="1:20" x14ac:dyDescent="0.25">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t="s">
        <v>70</v>
      </c>
      <c r="T779" t="s">
        <v>253</v>
      </c>
    </row>
    <row r="780" spans="1:20" x14ac:dyDescent="0.25">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t="s">
        <v>70</v>
      </c>
      <c r="T780" t="s">
        <v>253</v>
      </c>
    </row>
    <row r="781" spans="1:20" x14ac:dyDescent="0.25">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t="s">
        <v>33</v>
      </c>
      <c r="T781" t="s">
        <v>195</v>
      </c>
    </row>
    <row r="782" spans="1:20" x14ac:dyDescent="0.25">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t="s">
        <v>58</v>
      </c>
      <c r="T782" t="s">
        <v>77</v>
      </c>
    </row>
    <row r="783" spans="1:20" x14ac:dyDescent="0.25">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t="s">
        <v>58</v>
      </c>
      <c r="T783" t="s">
        <v>253</v>
      </c>
    </row>
    <row r="784" spans="1:20" x14ac:dyDescent="0.25">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t="s">
        <v>83</v>
      </c>
      <c r="T784" t="s">
        <v>195</v>
      </c>
    </row>
    <row r="785" spans="1:20" x14ac:dyDescent="0.25">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t="s">
        <v>83</v>
      </c>
      <c r="T785" t="s">
        <v>96</v>
      </c>
    </row>
    <row r="786" spans="1:20" x14ac:dyDescent="0.25">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t="s">
        <v>83</v>
      </c>
      <c r="T786" t="s">
        <v>96</v>
      </c>
    </row>
    <row r="787" spans="1:20" x14ac:dyDescent="0.25">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t="s">
        <v>58</v>
      </c>
      <c r="T787" t="s">
        <v>161</v>
      </c>
    </row>
    <row r="788" spans="1:20" x14ac:dyDescent="0.25">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t="s">
        <v>129</v>
      </c>
      <c r="T788" t="s">
        <v>169</v>
      </c>
    </row>
    <row r="789" spans="1:20" x14ac:dyDescent="0.25">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t="s">
        <v>123</v>
      </c>
      <c r="T789" t="s">
        <v>34</v>
      </c>
    </row>
    <row r="790" spans="1:20" x14ac:dyDescent="0.25">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t="s">
        <v>129</v>
      </c>
      <c r="T790" t="s">
        <v>48</v>
      </c>
    </row>
    <row r="791" spans="1:20" x14ac:dyDescent="0.25">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t="s">
        <v>47</v>
      </c>
      <c r="T791" t="s">
        <v>34</v>
      </c>
    </row>
    <row r="792" spans="1:20" x14ac:dyDescent="0.25">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t="s">
        <v>47</v>
      </c>
      <c r="T792" t="s">
        <v>34</v>
      </c>
    </row>
    <row r="793" spans="1:20" x14ac:dyDescent="0.25">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t="s">
        <v>83</v>
      </c>
      <c r="T793" t="s">
        <v>77</v>
      </c>
    </row>
    <row r="794" spans="1:20" x14ac:dyDescent="0.25">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t="s">
        <v>83</v>
      </c>
      <c r="T794" t="s">
        <v>77</v>
      </c>
    </row>
    <row r="795" spans="1:20" x14ac:dyDescent="0.25">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t="s">
        <v>58</v>
      </c>
      <c r="T795" t="s">
        <v>48</v>
      </c>
    </row>
    <row r="796" spans="1:20" x14ac:dyDescent="0.25">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t="s">
        <v>83</v>
      </c>
      <c r="T796" t="s">
        <v>161</v>
      </c>
    </row>
    <row r="797" spans="1:20" x14ac:dyDescent="0.25">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t="s">
        <v>83</v>
      </c>
      <c r="T797" t="s">
        <v>161</v>
      </c>
    </row>
    <row r="798" spans="1:20" x14ac:dyDescent="0.25">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t="s">
        <v>83</v>
      </c>
      <c r="T798" t="s">
        <v>161</v>
      </c>
    </row>
    <row r="799" spans="1:20" x14ac:dyDescent="0.25">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t="s">
        <v>58</v>
      </c>
      <c r="T799" t="s">
        <v>34</v>
      </c>
    </row>
    <row r="800" spans="1:20" x14ac:dyDescent="0.25">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t="s">
        <v>430</v>
      </c>
      <c r="T800" t="s">
        <v>34</v>
      </c>
    </row>
    <row r="801" spans="1:20" x14ac:dyDescent="0.25">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t="s">
        <v>47</v>
      </c>
      <c r="T801" t="s">
        <v>71</v>
      </c>
    </row>
    <row r="802" spans="1:20" x14ac:dyDescent="0.25">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t="s">
        <v>47</v>
      </c>
      <c r="T802" t="s">
        <v>71</v>
      </c>
    </row>
    <row r="803" spans="1:20" x14ac:dyDescent="0.25">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t="s">
        <v>83</v>
      </c>
      <c r="T803" t="s">
        <v>59</v>
      </c>
    </row>
    <row r="804" spans="1:20" x14ac:dyDescent="0.25">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t="s">
        <v>33</v>
      </c>
      <c r="T804" t="s">
        <v>48</v>
      </c>
    </row>
    <row r="805" spans="1:20" x14ac:dyDescent="0.25">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t="s">
        <v>430</v>
      </c>
      <c r="T805" t="s">
        <v>77</v>
      </c>
    </row>
    <row r="806" spans="1:20" x14ac:dyDescent="0.25">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t="s">
        <v>83</v>
      </c>
      <c r="T806" t="s">
        <v>59</v>
      </c>
    </row>
    <row r="807" spans="1:20" x14ac:dyDescent="0.25">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t="s">
        <v>58</v>
      </c>
      <c r="T807" t="s">
        <v>297</v>
      </c>
    </row>
    <row r="808" spans="1:20" x14ac:dyDescent="0.25">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t="s">
        <v>58</v>
      </c>
      <c r="T808" t="s">
        <v>34</v>
      </c>
    </row>
    <row r="809" spans="1:20" x14ac:dyDescent="0.25">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t="s">
        <v>83</v>
      </c>
      <c r="T809" t="s">
        <v>48</v>
      </c>
    </row>
    <row r="810" spans="1:20" x14ac:dyDescent="0.25">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t="s">
        <v>83</v>
      </c>
      <c r="T810" t="s">
        <v>48</v>
      </c>
    </row>
    <row r="811" spans="1:20" x14ac:dyDescent="0.25">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t="s">
        <v>83</v>
      </c>
      <c r="T811" t="s">
        <v>48</v>
      </c>
    </row>
    <row r="812" spans="1:20" x14ac:dyDescent="0.25">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t="s">
        <v>58</v>
      </c>
      <c r="T812" t="s">
        <v>59</v>
      </c>
    </row>
    <row r="813" spans="1:20" x14ac:dyDescent="0.25">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t="s">
        <v>58</v>
      </c>
      <c r="T813" t="s">
        <v>59</v>
      </c>
    </row>
    <row r="814" spans="1:20" x14ac:dyDescent="0.25">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t="s">
        <v>129</v>
      </c>
      <c r="T814" t="s">
        <v>34</v>
      </c>
    </row>
    <row r="815" spans="1:20" x14ac:dyDescent="0.25">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t="s">
        <v>58</v>
      </c>
      <c r="T815" t="s">
        <v>113</v>
      </c>
    </row>
    <row r="816" spans="1:20" x14ac:dyDescent="0.25">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t="s">
        <v>58</v>
      </c>
      <c r="T816" t="s">
        <v>113</v>
      </c>
    </row>
    <row r="817" spans="1:20" x14ac:dyDescent="0.25">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t="s">
        <v>58</v>
      </c>
      <c r="T817" t="s">
        <v>113</v>
      </c>
    </row>
    <row r="818" spans="1:20" x14ac:dyDescent="0.25">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t="s">
        <v>47</v>
      </c>
      <c r="T818" t="s">
        <v>77</v>
      </c>
    </row>
    <row r="819" spans="1:20" x14ac:dyDescent="0.25">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t="s">
        <v>58</v>
      </c>
      <c r="T819" t="s">
        <v>71</v>
      </c>
    </row>
    <row r="820" spans="1:20" x14ac:dyDescent="0.25">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t="s">
        <v>58</v>
      </c>
      <c r="T820" t="s">
        <v>71</v>
      </c>
    </row>
    <row r="821" spans="1:20" x14ac:dyDescent="0.25">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t="s">
        <v>58</v>
      </c>
      <c r="T821" t="s">
        <v>71</v>
      </c>
    </row>
    <row r="822" spans="1:20" x14ac:dyDescent="0.25">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t="s">
        <v>83</v>
      </c>
      <c r="T822" t="s">
        <v>77</v>
      </c>
    </row>
    <row r="823" spans="1:20" x14ac:dyDescent="0.25">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t="s">
        <v>33</v>
      </c>
      <c r="T823" t="s">
        <v>195</v>
      </c>
    </row>
    <row r="824" spans="1:20" x14ac:dyDescent="0.25">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t="s">
        <v>83</v>
      </c>
      <c r="T824" t="s">
        <v>59</v>
      </c>
    </row>
    <row r="825" spans="1:20" x14ac:dyDescent="0.25">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t="s">
        <v>430</v>
      </c>
      <c r="T825" t="s">
        <v>96</v>
      </c>
    </row>
    <row r="826" spans="1:20" x14ac:dyDescent="0.25">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t="s">
        <v>58</v>
      </c>
      <c r="T826" t="s">
        <v>161</v>
      </c>
    </row>
    <row r="827" spans="1:20" x14ac:dyDescent="0.25">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t="s">
        <v>83</v>
      </c>
      <c r="T827" t="s">
        <v>34</v>
      </c>
    </row>
    <row r="828" spans="1:20" x14ac:dyDescent="0.25">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t="s">
        <v>58</v>
      </c>
      <c r="T828" t="s">
        <v>113</v>
      </c>
    </row>
    <row r="829" spans="1:20" x14ac:dyDescent="0.25">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t="s">
        <v>47</v>
      </c>
      <c r="T829" t="s">
        <v>59</v>
      </c>
    </row>
    <row r="830" spans="1:20" x14ac:dyDescent="0.25">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t="s">
        <v>83</v>
      </c>
      <c r="T830" t="s">
        <v>161</v>
      </c>
    </row>
    <row r="831" spans="1:20" x14ac:dyDescent="0.25">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t="s">
        <v>123</v>
      </c>
      <c r="T831" t="s">
        <v>297</v>
      </c>
    </row>
    <row r="832" spans="1:20" x14ac:dyDescent="0.25">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t="s">
        <v>83</v>
      </c>
      <c r="T832" t="s">
        <v>195</v>
      </c>
    </row>
    <row r="833" spans="1:20" x14ac:dyDescent="0.25">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t="s">
        <v>70</v>
      </c>
      <c r="T833" t="s">
        <v>48</v>
      </c>
    </row>
    <row r="834" spans="1:20" x14ac:dyDescent="0.25">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t="s">
        <v>83</v>
      </c>
      <c r="T834" t="s">
        <v>96</v>
      </c>
    </row>
    <row r="835" spans="1:20" x14ac:dyDescent="0.25">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t="s">
        <v>58</v>
      </c>
      <c r="T835" t="s">
        <v>96</v>
      </c>
    </row>
    <row r="836" spans="1:20" x14ac:dyDescent="0.25">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t="s">
        <v>70</v>
      </c>
      <c r="T836" t="s">
        <v>71</v>
      </c>
    </row>
    <row r="837" spans="1:20" x14ac:dyDescent="0.25">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t="s">
        <v>83</v>
      </c>
      <c r="T837" t="s">
        <v>113</v>
      </c>
    </row>
    <row r="838" spans="1:20" x14ac:dyDescent="0.25">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t="s">
        <v>58</v>
      </c>
      <c r="T838" t="s">
        <v>113</v>
      </c>
    </row>
    <row r="839" spans="1:20" x14ac:dyDescent="0.25">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t="s">
        <v>70</v>
      </c>
      <c r="T839" t="s">
        <v>34</v>
      </c>
    </row>
    <row r="840" spans="1:20" x14ac:dyDescent="0.25">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t="s">
        <v>83</v>
      </c>
      <c r="T840" t="s">
        <v>161</v>
      </c>
    </row>
    <row r="841" spans="1:20" x14ac:dyDescent="0.25">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t="s">
        <v>83</v>
      </c>
      <c r="T841" t="s">
        <v>195</v>
      </c>
    </row>
    <row r="842" spans="1:20" x14ac:dyDescent="0.25">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t="s">
        <v>83</v>
      </c>
      <c r="T842" t="s">
        <v>195</v>
      </c>
    </row>
    <row r="843" spans="1:20" x14ac:dyDescent="0.25">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t="s">
        <v>83</v>
      </c>
      <c r="T843" t="s">
        <v>195</v>
      </c>
    </row>
    <row r="844" spans="1:20" x14ac:dyDescent="0.25">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t="s">
        <v>33</v>
      </c>
      <c r="T844" t="s">
        <v>71</v>
      </c>
    </row>
    <row r="845" spans="1:20" x14ac:dyDescent="0.25">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t="s">
        <v>58</v>
      </c>
      <c r="T845" t="s">
        <v>48</v>
      </c>
    </row>
    <row r="846" spans="1:20" x14ac:dyDescent="0.25">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t="s">
        <v>58</v>
      </c>
      <c r="T846" t="s">
        <v>195</v>
      </c>
    </row>
    <row r="847" spans="1:20" x14ac:dyDescent="0.25">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t="s">
        <v>83</v>
      </c>
      <c r="T847" t="s">
        <v>169</v>
      </c>
    </row>
    <row r="848" spans="1:20" x14ac:dyDescent="0.25">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t="s">
        <v>58</v>
      </c>
      <c r="T848" t="s">
        <v>59</v>
      </c>
    </row>
    <row r="849" spans="1:20" x14ac:dyDescent="0.25">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t="s">
        <v>58</v>
      </c>
      <c r="T849" t="s">
        <v>59</v>
      </c>
    </row>
    <row r="850" spans="1:20" x14ac:dyDescent="0.25">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t="s">
        <v>123</v>
      </c>
      <c r="T850" t="s">
        <v>48</v>
      </c>
    </row>
    <row r="851" spans="1:20" x14ac:dyDescent="0.25">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t="s">
        <v>83</v>
      </c>
      <c r="T851" t="s">
        <v>96</v>
      </c>
    </row>
    <row r="852" spans="1:20" x14ac:dyDescent="0.25">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t="s">
        <v>83</v>
      </c>
      <c r="T852" t="s">
        <v>96</v>
      </c>
    </row>
    <row r="853" spans="1:20" x14ac:dyDescent="0.25">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t="s">
        <v>83</v>
      </c>
      <c r="T853" t="s">
        <v>96</v>
      </c>
    </row>
    <row r="854" spans="1:20" x14ac:dyDescent="0.25">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t="s">
        <v>58</v>
      </c>
      <c r="T854" t="s">
        <v>59</v>
      </c>
    </row>
    <row r="855" spans="1:20" x14ac:dyDescent="0.25">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t="s">
        <v>70</v>
      </c>
      <c r="T855" t="s">
        <v>59</v>
      </c>
    </row>
    <row r="856" spans="1:20" x14ac:dyDescent="0.25">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t="s">
        <v>70</v>
      </c>
      <c r="T856" t="s">
        <v>59</v>
      </c>
    </row>
    <row r="857" spans="1:20" x14ac:dyDescent="0.25">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t="s">
        <v>83</v>
      </c>
      <c r="T857" t="s">
        <v>77</v>
      </c>
    </row>
    <row r="858" spans="1:20" x14ac:dyDescent="0.25">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t="s">
        <v>83</v>
      </c>
      <c r="T858" t="s">
        <v>77</v>
      </c>
    </row>
    <row r="859" spans="1:20" x14ac:dyDescent="0.25">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t="s">
        <v>83</v>
      </c>
      <c r="T859" t="s">
        <v>34</v>
      </c>
    </row>
    <row r="860" spans="1:20" x14ac:dyDescent="0.25">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t="s">
        <v>33</v>
      </c>
      <c r="T860" t="s">
        <v>253</v>
      </c>
    </row>
    <row r="861" spans="1:20" x14ac:dyDescent="0.25">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t="s">
        <v>58</v>
      </c>
      <c r="T861" t="s">
        <v>34</v>
      </c>
    </row>
    <row r="862" spans="1:20" x14ac:dyDescent="0.25">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t="s">
        <v>58</v>
      </c>
      <c r="T862" t="s">
        <v>34</v>
      </c>
    </row>
    <row r="863" spans="1:20" x14ac:dyDescent="0.25">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t="s">
        <v>47</v>
      </c>
      <c r="T863" t="s">
        <v>253</v>
      </c>
    </row>
    <row r="864" spans="1:20" x14ac:dyDescent="0.25">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t="s">
        <v>430</v>
      </c>
      <c r="T864" t="s">
        <v>96</v>
      </c>
    </row>
    <row r="865" spans="1:20" x14ac:dyDescent="0.25">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t="s">
        <v>430</v>
      </c>
      <c r="T865" t="s">
        <v>77</v>
      </c>
    </row>
    <row r="866" spans="1:20" x14ac:dyDescent="0.25">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t="s">
        <v>47</v>
      </c>
      <c r="T866" t="s">
        <v>96</v>
      </c>
    </row>
    <row r="867" spans="1:20" x14ac:dyDescent="0.25">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t="s">
        <v>83</v>
      </c>
      <c r="T867" t="s">
        <v>71</v>
      </c>
    </row>
    <row r="868" spans="1:20" x14ac:dyDescent="0.25">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t="s">
        <v>33</v>
      </c>
      <c r="T868" t="s">
        <v>96</v>
      </c>
    </row>
    <row r="869" spans="1:20" x14ac:dyDescent="0.25">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t="s">
        <v>47</v>
      </c>
      <c r="T869" t="s">
        <v>169</v>
      </c>
    </row>
    <row r="870" spans="1:20" x14ac:dyDescent="0.25">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t="s">
        <v>129</v>
      </c>
      <c r="T870" t="s">
        <v>34</v>
      </c>
    </row>
    <row r="871" spans="1:20" x14ac:dyDescent="0.25">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t="s">
        <v>70</v>
      </c>
      <c r="T871" t="s">
        <v>48</v>
      </c>
    </row>
    <row r="872" spans="1:20" x14ac:dyDescent="0.25">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t="s">
        <v>70</v>
      </c>
      <c r="T872" t="s">
        <v>96</v>
      </c>
    </row>
    <row r="873" spans="1:20" x14ac:dyDescent="0.25">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t="s">
        <v>83</v>
      </c>
      <c r="T873" t="s">
        <v>34</v>
      </c>
    </row>
    <row r="874" spans="1:20" x14ac:dyDescent="0.25">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t="s">
        <v>129</v>
      </c>
      <c r="T874" t="s">
        <v>113</v>
      </c>
    </row>
    <row r="875" spans="1:20" x14ac:dyDescent="0.25">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t="s">
        <v>70</v>
      </c>
      <c r="T875" t="s">
        <v>48</v>
      </c>
    </row>
    <row r="876" spans="1:20" x14ac:dyDescent="0.25">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t="s">
        <v>70</v>
      </c>
      <c r="T876" t="s">
        <v>48</v>
      </c>
    </row>
    <row r="877" spans="1:20" x14ac:dyDescent="0.25">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t="s">
        <v>70</v>
      </c>
      <c r="T877" t="s">
        <v>48</v>
      </c>
    </row>
    <row r="878" spans="1:20" x14ac:dyDescent="0.25">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t="s">
        <v>70</v>
      </c>
      <c r="T878" t="s">
        <v>48</v>
      </c>
    </row>
    <row r="879" spans="1:20" x14ac:dyDescent="0.25">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t="s">
        <v>70</v>
      </c>
      <c r="T879" t="s">
        <v>113</v>
      </c>
    </row>
    <row r="880" spans="1:20" x14ac:dyDescent="0.25">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t="s">
        <v>70</v>
      </c>
      <c r="T880" t="s">
        <v>59</v>
      </c>
    </row>
    <row r="881" spans="1:20" x14ac:dyDescent="0.25">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t="s">
        <v>83</v>
      </c>
      <c r="T881" t="s">
        <v>96</v>
      </c>
    </row>
    <row r="882" spans="1:20" x14ac:dyDescent="0.25">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t="s">
        <v>58</v>
      </c>
      <c r="T882" t="s">
        <v>169</v>
      </c>
    </row>
    <row r="883" spans="1:20" x14ac:dyDescent="0.25">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t="s">
        <v>58</v>
      </c>
      <c r="T883" t="s">
        <v>71</v>
      </c>
    </row>
    <row r="884" spans="1:20" x14ac:dyDescent="0.25">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t="s">
        <v>129</v>
      </c>
      <c r="T884" t="s">
        <v>34</v>
      </c>
    </row>
    <row r="885" spans="1:20" x14ac:dyDescent="0.25">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t="s">
        <v>129</v>
      </c>
      <c r="T885" t="s">
        <v>34</v>
      </c>
    </row>
    <row r="886" spans="1:20" x14ac:dyDescent="0.25">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t="s">
        <v>83</v>
      </c>
      <c r="T886" t="s">
        <v>96</v>
      </c>
    </row>
    <row r="887" spans="1:20" x14ac:dyDescent="0.25">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t="s">
        <v>430</v>
      </c>
      <c r="T887" t="s">
        <v>77</v>
      </c>
    </row>
    <row r="888" spans="1:20" x14ac:dyDescent="0.25">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t="s">
        <v>33</v>
      </c>
      <c r="T888" t="s">
        <v>48</v>
      </c>
    </row>
    <row r="889" spans="1:20" x14ac:dyDescent="0.25">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t="s">
        <v>70</v>
      </c>
      <c r="T889" t="s">
        <v>195</v>
      </c>
    </row>
    <row r="890" spans="1:20" x14ac:dyDescent="0.25">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t="s">
        <v>83</v>
      </c>
      <c r="T890" t="s">
        <v>34</v>
      </c>
    </row>
    <row r="891" spans="1:20" x14ac:dyDescent="0.25">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t="s">
        <v>83</v>
      </c>
      <c r="T891" t="s">
        <v>34</v>
      </c>
    </row>
    <row r="892" spans="1:20" x14ac:dyDescent="0.25">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t="s">
        <v>83</v>
      </c>
      <c r="T892" t="s">
        <v>59</v>
      </c>
    </row>
    <row r="893" spans="1:20" x14ac:dyDescent="0.25">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t="s">
        <v>83</v>
      </c>
      <c r="T893" t="s">
        <v>34</v>
      </c>
    </row>
    <row r="894" spans="1:20" x14ac:dyDescent="0.25">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t="s">
        <v>33</v>
      </c>
      <c r="T894" t="s">
        <v>34</v>
      </c>
    </row>
    <row r="895" spans="1:20" x14ac:dyDescent="0.25">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t="s">
        <v>83</v>
      </c>
      <c r="T895" t="s">
        <v>113</v>
      </c>
    </row>
    <row r="896" spans="1:20" x14ac:dyDescent="0.25">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t="s">
        <v>83</v>
      </c>
      <c r="T896" t="s">
        <v>34</v>
      </c>
    </row>
    <row r="897" spans="1:20" x14ac:dyDescent="0.25">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t="s">
        <v>58</v>
      </c>
      <c r="T897" t="s">
        <v>34</v>
      </c>
    </row>
    <row r="898" spans="1:20" x14ac:dyDescent="0.25">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t="s">
        <v>83</v>
      </c>
      <c r="T898" t="s">
        <v>96</v>
      </c>
    </row>
    <row r="899" spans="1:20" x14ac:dyDescent="0.25">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t="s">
        <v>58</v>
      </c>
      <c r="T899" t="s">
        <v>48</v>
      </c>
    </row>
    <row r="900" spans="1:20" x14ac:dyDescent="0.25">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t="s">
        <v>47</v>
      </c>
      <c r="T900" t="s">
        <v>71</v>
      </c>
    </row>
    <row r="901" spans="1:20" x14ac:dyDescent="0.25">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t="s">
        <v>33</v>
      </c>
      <c r="T901" t="s">
        <v>253</v>
      </c>
    </row>
    <row r="902" spans="1:20" x14ac:dyDescent="0.25">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t="s">
        <v>83</v>
      </c>
      <c r="T902" t="s">
        <v>48</v>
      </c>
    </row>
    <row r="903" spans="1:20" x14ac:dyDescent="0.25">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t="s">
        <v>47</v>
      </c>
      <c r="T903" t="s">
        <v>34</v>
      </c>
    </row>
    <row r="904" spans="1:20" x14ac:dyDescent="0.25">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t="s">
        <v>83</v>
      </c>
      <c r="T904" t="s">
        <v>96</v>
      </c>
    </row>
    <row r="905" spans="1:20" x14ac:dyDescent="0.25">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t="s">
        <v>83</v>
      </c>
      <c r="T905" t="s">
        <v>96</v>
      </c>
    </row>
    <row r="906" spans="1:20" x14ac:dyDescent="0.25">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t="s">
        <v>47</v>
      </c>
      <c r="T906" t="s">
        <v>77</v>
      </c>
    </row>
    <row r="907" spans="1:20" x14ac:dyDescent="0.25">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t="s">
        <v>47</v>
      </c>
      <c r="T907" t="s">
        <v>77</v>
      </c>
    </row>
    <row r="908" spans="1:20" x14ac:dyDescent="0.25">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t="s">
        <v>430</v>
      </c>
      <c r="T908" t="s">
        <v>96</v>
      </c>
    </row>
    <row r="909" spans="1:20" x14ac:dyDescent="0.25">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t="s">
        <v>430</v>
      </c>
      <c r="T909" t="s">
        <v>96</v>
      </c>
    </row>
    <row r="910" spans="1:20" x14ac:dyDescent="0.25">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t="s">
        <v>58</v>
      </c>
      <c r="T910" t="s">
        <v>113</v>
      </c>
    </row>
    <row r="911" spans="1:20" x14ac:dyDescent="0.25">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t="s">
        <v>58</v>
      </c>
      <c r="T911" t="s">
        <v>113</v>
      </c>
    </row>
    <row r="912" spans="1:20" x14ac:dyDescent="0.25">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t="s">
        <v>58</v>
      </c>
      <c r="T912" t="s">
        <v>48</v>
      </c>
    </row>
    <row r="913" spans="1:20" x14ac:dyDescent="0.25">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t="s">
        <v>47</v>
      </c>
      <c r="T913" t="s">
        <v>71</v>
      </c>
    </row>
    <row r="914" spans="1:20" x14ac:dyDescent="0.25">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t="s">
        <v>47</v>
      </c>
      <c r="T914" t="s">
        <v>71</v>
      </c>
    </row>
    <row r="915" spans="1:20" x14ac:dyDescent="0.25">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t="s">
        <v>70</v>
      </c>
      <c r="T915" t="s">
        <v>34</v>
      </c>
    </row>
    <row r="916" spans="1:20" x14ac:dyDescent="0.25">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t="s">
        <v>83</v>
      </c>
      <c r="T916" t="s">
        <v>71</v>
      </c>
    </row>
    <row r="917" spans="1:20" x14ac:dyDescent="0.25">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t="s">
        <v>83</v>
      </c>
      <c r="T917" t="s">
        <v>71</v>
      </c>
    </row>
    <row r="918" spans="1:20" x14ac:dyDescent="0.25">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t="s">
        <v>430</v>
      </c>
      <c r="T918" t="s">
        <v>195</v>
      </c>
    </row>
    <row r="919" spans="1:20" x14ac:dyDescent="0.25">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t="s">
        <v>47</v>
      </c>
      <c r="T919" t="s">
        <v>96</v>
      </c>
    </row>
    <row r="920" spans="1:20" x14ac:dyDescent="0.25">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t="s">
        <v>123</v>
      </c>
      <c r="T920" t="s">
        <v>161</v>
      </c>
    </row>
    <row r="921" spans="1:20" x14ac:dyDescent="0.25">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t="s">
        <v>129</v>
      </c>
      <c r="T921" t="s">
        <v>195</v>
      </c>
    </row>
    <row r="922" spans="1:20" x14ac:dyDescent="0.25">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t="s">
        <v>58</v>
      </c>
      <c r="T922" t="s">
        <v>34</v>
      </c>
    </row>
    <row r="923" spans="1:20" x14ac:dyDescent="0.25">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t="s">
        <v>58</v>
      </c>
      <c r="T923" t="s">
        <v>34</v>
      </c>
    </row>
    <row r="924" spans="1:20" x14ac:dyDescent="0.25">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t="s">
        <v>83</v>
      </c>
      <c r="T924" t="s">
        <v>59</v>
      </c>
    </row>
    <row r="925" spans="1:20" x14ac:dyDescent="0.25">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t="s">
        <v>70</v>
      </c>
      <c r="T925" t="s">
        <v>71</v>
      </c>
    </row>
    <row r="926" spans="1:20" x14ac:dyDescent="0.25">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t="s">
        <v>70</v>
      </c>
      <c r="T926" t="s">
        <v>71</v>
      </c>
    </row>
    <row r="927" spans="1:20" x14ac:dyDescent="0.25">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t="s">
        <v>58</v>
      </c>
      <c r="T927" t="s">
        <v>77</v>
      </c>
    </row>
    <row r="928" spans="1:20" x14ac:dyDescent="0.25">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t="s">
        <v>33</v>
      </c>
      <c r="T928" t="s">
        <v>77</v>
      </c>
    </row>
    <row r="929" spans="1:20" x14ac:dyDescent="0.25">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t="s">
        <v>47</v>
      </c>
      <c r="T929" t="s">
        <v>34</v>
      </c>
    </row>
    <row r="930" spans="1:20" x14ac:dyDescent="0.25">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t="s">
        <v>83</v>
      </c>
      <c r="T930" t="s">
        <v>161</v>
      </c>
    </row>
    <row r="931" spans="1:20" x14ac:dyDescent="0.25">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t="s">
        <v>430</v>
      </c>
      <c r="T931" t="s">
        <v>77</v>
      </c>
    </row>
    <row r="932" spans="1:20" x14ac:dyDescent="0.25">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t="s">
        <v>430</v>
      </c>
      <c r="T932" t="s">
        <v>77</v>
      </c>
    </row>
    <row r="933" spans="1:20" x14ac:dyDescent="0.25">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t="s">
        <v>430</v>
      </c>
      <c r="T933" t="s">
        <v>77</v>
      </c>
    </row>
    <row r="934" spans="1:20" x14ac:dyDescent="0.25">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t="s">
        <v>430</v>
      </c>
      <c r="T934" t="s">
        <v>48</v>
      </c>
    </row>
    <row r="935" spans="1:20" x14ac:dyDescent="0.25">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t="s">
        <v>47</v>
      </c>
      <c r="T935" t="s">
        <v>253</v>
      </c>
    </row>
    <row r="936" spans="1:20" x14ac:dyDescent="0.25">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t="s">
        <v>70</v>
      </c>
      <c r="T936" t="s">
        <v>96</v>
      </c>
    </row>
    <row r="937" spans="1:20" x14ac:dyDescent="0.25">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t="s">
        <v>70</v>
      </c>
      <c r="T937" t="s">
        <v>96</v>
      </c>
    </row>
    <row r="938" spans="1:20" x14ac:dyDescent="0.25">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t="s">
        <v>58</v>
      </c>
      <c r="T938" t="s">
        <v>59</v>
      </c>
    </row>
    <row r="939" spans="1:20" x14ac:dyDescent="0.25">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t="s">
        <v>58</v>
      </c>
      <c r="T939" t="s">
        <v>96</v>
      </c>
    </row>
    <row r="940" spans="1:20" x14ac:dyDescent="0.25">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t="s">
        <v>129</v>
      </c>
      <c r="T940" t="s">
        <v>161</v>
      </c>
    </row>
    <row r="941" spans="1:20" x14ac:dyDescent="0.25">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t="s">
        <v>83</v>
      </c>
      <c r="T941" t="s">
        <v>34</v>
      </c>
    </row>
    <row r="942" spans="1:20" x14ac:dyDescent="0.25">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t="s">
        <v>58</v>
      </c>
      <c r="T942" t="s">
        <v>48</v>
      </c>
    </row>
    <row r="943" spans="1:20" x14ac:dyDescent="0.25">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t="s">
        <v>129</v>
      </c>
      <c r="T943" t="s">
        <v>297</v>
      </c>
    </row>
    <row r="944" spans="1:20" x14ac:dyDescent="0.25">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t="s">
        <v>83</v>
      </c>
      <c r="T944" t="s">
        <v>34</v>
      </c>
    </row>
    <row r="945" spans="1:20" x14ac:dyDescent="0.25">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t="s">
        <v>129</v>
      </c>
      <c r="T945" t="s">
        <v>71</v>
      </c>
    </row>
    <row r="946" spans="1:20" x14ac:dyDescent="0.25">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t="s">
        <v>33</v>
      </c>
      <c r="T946" t="s">
        <v>34</v>
      </c>
    </row>
    <row r="947" spans="1:20" x14ac:dyDescent="0.25">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t="s">
        <v>430</v>
      </c>
      <c r="T947" t="s">
        <v>48</v>
      </c>
    </row>
    <row r="948" spans="1:20" x14ac:dyDescent="0.25">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t="s">
        <v>83</v>
      </c>
      <c r="T948" t="s">
        <v>71</v>
      </c>
    </row>
    <row r="949" spans="1:20" x14ac:dyDescent="0.25">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t="s">
        <v>33</v>
      </c>
      <c r="T949" t="s">
        <v>297</v>
      </c>
    </row>
    <row r="950" spans="1:20" x14ac:dyDescent="0.25">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t="s">
        <v>58</v>
      </c>
      <c r="T950" t="s">
        <v>71</v>
      </c>
    </row>
    <row r="951" spans="1:20" x14ac:dyDescent="0.25">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t="s">
        <v>58</v>
      </c>
      <c r="T951" t="s">
        <v>71</v>
      </c>
    </row>
    <row r="952" spans="1:20" x14ac:dyDescent="0.25">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t="s">
        <v>83</v>
      </c>
      <c r="T952" t="s">
        <v>71</v>
      </c>
    </row>
    <row r="953" spans="1:20" x14ac:dyDescent="0.25">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t="s">
        <v>129</v>
      </c>
      <c r="T953" t="s">
        <v>96</v>
      </c>
    </row>
    <row r="954" spans="1:20" x14ac:dyDescent="0.25">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t="s">
        <v>33</v>
      </c>
      <c r="T954" t="s">
        <v>161</v>
      </c>
    </row>
    <row r="955" spans="1:20" x14ac:dyDescent="0.25">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t="s">
        <v>58</v>
      </c>
      <c r="T955" t="s">
        <v>96</v>
      </c>
    </row>
    <row r="956" spans="1:20" x14ac:dyDescent="0.25">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t="s">
        <v>83</v>
      </c>
      <c r="T956" t="s">
        <v>77</v>
      </c>
    </row>
    <row r="957" spans="1:20" x14ac:dyDescent="0.25">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t="s">
        <v>70</v>
      </c>
      <c r="T957" t="s">
        <v>113</v>
      </c>
    </row>
    <row r="958" spans="1:20" x14ac:dyDescent="0.25">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t="s">
        <v>129</v>
      </c>
      <c r="T958" t="s">
        <v>96</v>
      </c>
    </row>
    <row r="959" spans="1:20" x14ac:dyDescent="0.25">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t="s">
        <v>33</v>
      </c>
      <c r="T959" t="s">
        <v>77</v>
      </c>
    </row>
    <row r="960" spans="1:20" x14ac:dyDescent="0.25">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t="s">
        <v>70</v>
      </c>
      <c r="T960" t="s">
        <v>34</v>
      </c>
    </row>
    <row r="961" spans="1:20" x14ac:dyDescent="0.25">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t="s">
        <v>58</v>
      </c>
      <c r="T961" t="s">
        <v>96</v>
      </c>
    </row>
    <row r="962" spans="1:20" x14ac:dyDescent="0.25">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t="s">
        <v>58</v>
      </c>
      <c r="T962" t="s">
        <v>96</v>
      </c>
    </row>
    <row r="963" spans="1:20" x14ac:dyDescent="0.25">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t="s">
        <v>83</v>
      </c>
      <c r="T963" t="s">
        <v>71</v>
      </c>
    </row>
    <row r="964" spans="1:20" x14ac:dyDescent="0.25">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t="s">
        <v>58</v>
      </c>
      <c r="T964" t="s">
        <v>34</v>
      </c>
    </row>
    <row r="965" spans="1:20" x14ac:dyDescent="0.25">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t="s">
        <v>58</v>
      </c>
      <c r="T965" t="s">
        <v>77</v>
      </c>
    </row>
    <row r="966" spans="1:20" x14ac:dyDescent="0.25">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t="s">
        <v>58</v>
      </c>
      <c r="T966" t="s">
        <v>77</v>
      </c>
    </row>
    <row r="967" spans="1:20" x14ac:dyDescent="0.25">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t="s">
        <v>430</v>
      </c>
      <c r="T967" t="s">
        <v>48</v>
      </c>
    </row>
    <row r="968" spans="1:20" x14ac:dyDescent="0.25">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t="s">
        <v>58</v>
      </c>
      <c r="T968" t="s">
        <v>253</v>
      </c>
    </row>
    <row r="969" spans="1:20" x14ac:dyDescent="0.25">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t="s">
        <v>58</v>
      </c>
      <c r="T969" t="s">
        <v>253</v>
      </c>
    </row>
    <row r="970" spans="1:20" x14ac:dyDescent="0.25">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t="s">
        <v>70</v>
      </c>
      <c r="T970" t="s">
        <v>48</v>
      </c>
    </row>
    <row r="971" spans="1:20" x14ac:dyDescent="0.25">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t="s">
        <v>83</v>
      </c>
      <c r="T971" t="s">
        <v>253</v>
      </c>
    </row>
    <row r="972" spans="1:20" x14ac:dyDescent="0.25">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t="s">
        <v>58</v>
      </c>
      <c r="T972" t="s">
        <v>113</v>
      </c>
    </row>
    <row r="973" spans="1:20" x14ac:dyDescent="0.25">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t="s">
        <v>83</v>
      </c>
      <c r="T973" t="s">
        <v>161</v>
      </c>
    </row>
    <row r="974" spans="1:20" x14ac:dyDescent="0.25">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t="s">
        <v>47</v>
      </c>
      <c r="T974" t="s">
        <v>169</v>
      </c>
    </row>
    <row r="975" spans="1:20" x14ac:dyDescent="0.25">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t="s">
        <v>58</v>
      </c>
      <c r="T975" t="s">
        <v>161</v>
      </c>
    </row>
    <row r="976" spans="1:20" x14ac:dyDescent="0.25">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t="s">
        <v>129</v>
      </c>
      <c r="T976" t="s">
        <v>71</v>
      </c>
    </row>
    <row r="977" spans="1:20" x14ac:dyDescent="0.25">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t="s">
        <v>70</v>
      </c>
      <c r="T977" t="s">
        <v>195</v>
      </c>
    </row>
    <row r="978" spans="1:20" x14ac:dyDescent="0.25">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t="s">
        <v>58</v>
      </c>
      <c r="T978" t="s">
        <v>253</v>
      </c>
    </row>
    <row r="979" spans="1:20" x14ac:dyDescent="0.25">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t="s">
        <v>58</v>
      </c>
      <c r="T979" t="s">
        <v>253</v>
      </c>
    </row>
    <row r="980" spans="1:20" x14ac:dyDescent="0.25">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t="s">
        <v>70</v>
      </c>
      <c r="T980" t="s">
        <v>96</v>
      </c>
    </row>
    <row r="981" spans="1:20" x14ac:dyDescent="0.25">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t="s">
        <v>70</v>
      </c>
      <c r="T981" t="s">
        <v>96</v>
      </c>
    </row>
    <row r="982" spans="1:20" x14ac:dyDescent="0.25">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t="s">
        <v>430</v>
      </c>
      <c r="T982" t="s">
        <v>96</v>
      </c>
    </row>
    <row r="983" spans="1:20" x14ac:dyDescent="0.25">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t="s">
        <v>430</v>
      </c>
      <c r="T983" t="s">
        <v>96</v>
      </c>
    </row>
    <row r="984" spans="1:20" x14ac:dyDescent="0.25">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t="s">
        <v>430</v>
      </c>
      <c r="T984" t="s">
        <v>96</v>
      </c>
    </row>
    <row r="985" spans="1:20" x14ac:dyDescent="0.25">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t="s">
        <v>430</v>
      </c>
      <c r="T985" t="s">
        <v>96</v>
      </c>
    </row>
    <row r="986" spans="1:20" x14ac:dyDescent="0.25">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t="s">
        <v>129</v>
      </c>
      <c r="T986" t="s">
        <v>161</v>
      </c>
    </row>
    <row r="987" spans="1:20" x14ac:dyDescent="0.25">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t="s">
        <v>123</v>
      </c>
      <c r="T987" t="s">
        <v>161</v>
      </c>
    </row>
    <row r="988" spans="1:20" x14ac:dyDescent="0.25">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t="s">
        <v>58</v>
      </c>
      <c r="T988" t="s">
        <v>96</v>
      </c>
    </row>
    <row r="989" spans="1:20" x14ac:dyDescent="0.25">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t="s">
        <v>83</v>
      </c>
      <c r="T989" t="s">
        <v>96</v>
      </c>
    </row>
    <row r="990" spans="1:20" x14ac:dyDescent="0.25">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t="s">
        <v>83</v>
      </c>
      <c r="T990" t="s">
        <v>59</v>
      </c>
    </row>
    <row r="991" spans="1:20" x14ac:dyDescent="0.25">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t="s">
        <v>83</v>
      </c>
      <c r="T991" t="s">
        <v>34</v>
      </c>
    </row>
    <row r="992" spans="1:20" x14ac:dyDescent="0.25">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t="s">
        <v>70</v>
      </c>
      <c r="T992" t="s">
        <v>195</v>
      </c>
    </row>
    <row r="993" spans="1:20" x14ac:dyDescent="0.25">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t="s">
        <v>58</v>
      </c>
      <c r="T993" t="s">
        <v>113</v>
      </c>
    </row>
    <row r="994" spans="1:20" x14ac:dyDescent="0.25">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t="s">
        <v>129</v>
      </c>
      <c r="T994" t="s">
        <v>297</v>
      </c>
    </row>
    <row r="995" spans="1:20" x14ac:dyDescent="0.25">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t="s">
        <v>430</v>
      </c>
      <c r="T995" t="s">
        <v>195</v>
      </c>
    </row>
    <row r="996" spans="1:20" x14ac:dyDescent="0.25">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t="s">
        <v>83</v>
      </c>
      <c r="T996" t="s">
        <v>34</v>
      </c>
    </row>
    <row r="997" spans="1:20" x14ac:dyDescent="0.25">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t="s">
        <v>83</v>
      </c>
      <c r="T997" t="s">
        <v>34</v>
      </c>
    </row>
    <row r="998" spans="1:20" x14ac:dyDescent="0.25">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t="s">
        <v>70</v>
      </c>
      <c r="T998" t="s">
        <v>71</v>
      </c>
    </row>
    <row r="999" spans="1:20" x14ac:dyDescent="0.25">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t="s">
        <v>58</v>
      </c>
      <c r="T999" t="s">
        <v>34</v>
      </c>
    </row>
    <row r="1000" spans="1:20" x14ac:dyDescent="0.25">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t="s">
        <v>58</v>
      </c>
      <c r="T1000" t="s">
        <v>96</v>
      </c>
    </row>
    <row r="1001" spans="1:20" x14ac:dyDescent="0.25">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t="s">
        <v>58</v>
      </c>
      <c r="T1001" t="s">
        <v>96</v>
      </c>
    </row>
    <row r="1002" spans="1:20" x14ac:dyDescent="0.25">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t="s">
        <v>58</v>
      </c>
      <c r="T1002" t="s">
        <v>96</v>
      </c>
    </row>
    <row r="1003" spans="1:20" x14ac:dyDescent="0.25">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t="s">
        <v>58</v>
      </c>
      <c r="T1003" t="s">
        <v>96</v>
      </c>
    </row>
    <row r="1004" spans="1:20" x14ac:dyDescent="0.25">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t="s">
        <v>47</v>
      </c>
      <c r="T1004" t="s">
        <v>195</v>
      </c>
    </row>
    <row r="1005" spans="1:20" x14ac:dyDescent="0.25">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t="s">
        <v>58</v>
      </c>
      <c r="T1005" t="s">
        <v>161</v>
      </c>
    </row>
    <row r="1006" spans="1:20" x14ac:dyDescent="0.25">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t="s">
        <v>83</v>
      </c>
      <c r="T1006" t="s">
        <v>71</v>
      </c>
    </row>
    <row r="1007" spans="1:20" x14ac:dyDescent="0.25">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t="s">
        <v>58</v>
      </c>
      <c r="T1007" t="s">
        <v>34</v>
      </c>
    </row>
    <row r="1008" spans="1:20" x14ac:dyDescent="0.25">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t="s">
        <v>58</v>
      </c>
      <c r="T1008" t="s">
        <v>34</v>
      </c>
    </row>
    <row r="1009" spans="1:20" x14ac:dyDescent="0.25">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t="s">
        <v>58</v>
      </c>
      <c r="T1009" t="s">
        <v>34</v>
      </c>
    </row>
    <row r="1010" spans="1:20" x14ac:dyDescent="0.25">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t="s">
        <v>58</v>
      </c>
      <c r="T1010" t="s">
        <v>34</v>
      </c>
    </row>
    <row r="1011" spans="1:20" x14ac:dyDescent="0.25">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t="s">
        <v>58</v>
      </c>
      <c r="T1011" t="s">
        <v>34</v>
      </c>
    </row>
    <row r="1012" spans="1:20" x14ac:dyDescent="0.25">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t="s">
        <v>129</v>
      </c>
      <c r="T1012" t="s">
        <v>77</v>
      </c>
    </row>
    <row r="1013" spans="1:20" x14ac:dyDescent="0.25">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t="s">
        <v>33</v>
      </c>
      <c r="T1013" t="s">
        <v>96</v>
      </c>
    </row>
    <row r="1014" spans="1:20" x14ac:dyDescent="0.25">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t="s">
        <v>33</v>
      </c>
      <c r="T1014" t="s">
        <v>96</v>
      </c>
    </row>
    <row r="1015" spans="1:20" x14ac:dyDescent="0.25">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t="s">
        <v>83</v>
      </c>
      <c r="T1015" t="s">
        <v>169</v>
      </c>
    </row>
    <row r="1016" spans="1:20" x14ac:dyDescent="0.25">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t="s">
        <v>83</v>
      </c>
      <c r="T1016" t="s">
        <v>169</v>
      </c>
    </row>
    <row r="1017" spans="1:20" x14ac:dyDescent="0.25">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t="s">
        <v>58</v>
      </c>
      <c r="T1017" t="s">
        <v>34</v>
      </c>
    </row>
    <row r="1018" spans="1:20" x14ac:dyDescent="0.25">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t="s">
        <v>33</v>
      </c>
      <c r="T1018" t="s">
        <v>34</v>
      </c>
    </row>
    <row r="1019" spans="1:20" x14ac:dyDescent="0.25">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t="s">
        <v>33</v>
      </c>
      <c r="T1019" t="s">
        <v>34</v>
      </c>
    </row>
    <row r="1020" spans="1:20" x14ac:dyDescent="0.25">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t="s">
        <v>70</v>
      </c>
      <c r="T1020" t="s">
        <v>48</v>
      </c>
    </row>
    <row r="1021" spans="1:20" x14ac:dyDescent="0.25">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t="s">
        <v>70</v>
      </c>
      <c r="T1021" t="s">
        <v>96</v>
      </c>
    </row>
    <row r="1022" spans="1:20" x14ac:dyDescent="0.25">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t="s">
        <v>70</v>
      </c>
      <c r="T1022" t="s">
        <v>48</v>
      </c>
    </row>
    <row r="1023" spans="1:20" x14ac:dyDescent="0.25">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t="s">
        <v>58</v>
      </c>
      <c r="T1023" t="s">
        <v>169</v>
      </c>
    </row>
    <row r="1024" spans="1:20" x14ac:dyDescent="0.25">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t="s">
        <v>83</v>
      </c>
      <c r="T1024" t="s">
        <v>48</v>
      </c>
    </row>
    <row r="1025" spans="1:20" x14ac:dyDescent="0.25">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t="s">
        <v>58</v>
      </c>
      <c r="T1025" t="s">
        <v>96</v>
      </c>
    </row>
    <row r="1026" spans="1:20" x14ac:dyDescent="0.25">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t="s">
        <v>58</v>
      </c>
      <c r="T1026" t="s">
        <v>169</v>
      </c>
    </row>
    <row r="1027" spans="1:20" x14ac:dyDescent="0.25">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t="s">
        <v>47</v>
      </c>
      <c r="T1027" t="s">
        <v>297</v>
      </c>
    </row>
    <row r="1028" spans="1:20" x14ac:dyDescent="0.25">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t="s">
        <v>47</v>
      </c>
      <c r="T1028" t="s">
        <v>297</v>
      </c>
    </row>
    <row r="1029" spans="1:20" x14ac:dyDescent="0.25">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t="s">
        <v>58</v>
      </c>
      <c r="T1029" t="s">
        <v>34</v>
      </c>
    </row>
    <row r="1030" spans="1:20" x14ac:dyDescent="0.25">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t="s">
        <v>83</v>
      </c>
      <c r="T1030" t="s">
        <v>59</v>
      </c>
    </row>
    <row r="1031" spans="1:20" x14ac:dyDescent="0.25">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t="s">
        <v>123</v>
      </c>
      <c r="T1031" t="s">
        <v>195</v>
      </c>
    </row>
    <row r="1032" spans="1:20" x14ac:dyDescent="0.25">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t="s">
        <v>33</v>
      </c>
      <c r="T1032" t="s">
        <v>253</v>
      </c>
    </row>
    <row r="1033" spans="1:20" x14ac:dyDescent="0.25">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t="s">
        <v>33</v>
      </c>
      <c r="T1033" t="s">
        <v>34</v>
      </c>
    </row>
    <row r="1034" spans="1:20" x14ac:dyDescent="0.25">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t="s">
        <v>33</v>
      </c>
      <c r="T1034" t="s">
        <v>34</v>
      </c>
    </row>
    <row r="1035" spans="1:20" x14ac:dyDescent="0.25">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t="s">
        <v>83</v>
      </c>
      <c r="T1035" t="s">
        <v>113</v>
      </c>
    </row>
    <row r="1036" spans="1:20" x14ac:dyDescent="0.25">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t="s">
        <v>47</v>
      </c>
      <c r="T1036" t="s">
        <v>96</v>
      </c>
    </row>
    <row r="1037" spans="1:20" x14ac:dyDescent="0.25">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t="s">
        <v>70</v>
      </c>
      <c r="T1037" t="s">
        <v>161</v>
      </c>
    </row>
    <row r="1038" spans="1:20" x14ac:dyDescent="0.25">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t="s">
        <v>58</v>
      </c>
      <c r="T1038" t="s">
        <v>34</v>
      </c>
    </row>
    <row r="1039" spans="1:20" x14ac:dyDescent="0.25">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t="s">
        <v>33</v>
      </c>
      <c r="T1039" t="s">
        <v>34</v>
      </c>
    </row>
    <row r="1040" spans="1:20" x14ac:dyDescent="0.25">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t="s">
        <v>129</v>
      </c>
      <c r="T1040" t="s">
        <v>96</v>
      </c>
    </row>
    <row r="1041" spans="1:20" x14ac:dyDescent="0.25">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t="s">
        <v>58</v>
      </c>
      <c r="T1041" t="s">
        <v>71</v>
      </c>
    </row>
    <row r="1042" spans="1:20" x14ac:dyDescent="0.25">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t="s">
        <v>47</v>
      </c>
      <c r="T1042" t="s">
        <v>96</v>
      </c>
    </row>
    <row r="1043" spans="1:20" x14ac:dyDescent="0.25">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t="s">
        <v>83</v>
      </c>
      <c r="T1043" t="s">
        <v>253</v>
      </c>
    </row>
    <row r="1044" spans="1:20" x14ac:dyDescent="0.25">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t="s">
        <v>129</v>
      </c>
      <c r="T1044" t="s">
        <v>113</v>
      </c>
    </row>
    <row r="1045" spans="1:20" x14ac:dyDescent="0.25">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t="s">
        <v>123</v>
      </c>
      <c r="T1045" t="s">
        <v>71</v>
      </c>
    </row>
    <row r="1046" spans="1:20" x14ac:dyDescent="0.25">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t="s">
        <v>33</v>
      </c>
      <c r="T1046" t="s">
        <v>34</v>
      </c>
    </row>
    <row r="1047" spans="1:20" x14ac:dyDescent="0.25">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t="s">
        <v>58</v>
      </c>
      <c r="T1047" t="s">
        <v>169</v>
      </c>
    </row>
    <row r="1048" spans="1:20" x14ac:dyDescent="0.25">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t="s">
        <v>83</v>
      </c>
      <c r="T1048" t="s">
        <v>161</v>
      </c>
    </row>
    <row r="1049" spans="1:20" x14ac:dyDescent="0.25">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t="s">
        <v>47</v>
      </c>
      <c r="T1049" t="s">
        <v>34</v>
      </c>
    </row>
    <row r="1050" spans="1:20" x14ac:dyDescent="0.25">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t="s">
        <v>83</v>
      </c>
      <c r="T1050" t="s">
        <v>253</v>
      </c>
    </row>
    <row r="1051" spans="1:20" x14ac:dyDescent="0.25">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t="s">
        <v>70</v>
      </c>
      <c r="T1051" t="s">
        <v>113</v>
      </c>
    </row>
    <row r="1052" spans="1:20" x14ac:dyDescent="0.25">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t="s">
        <v>70</v>
      </c>
      <c r="T1052" t="s">
        <v>113</v>
      </c>
    </row>
    <row r="1053" spans="1:20" x14ac:dyDescent="0.25">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t="s">
        <v>83</v>
      </c>
      <c r="T1053" t="s">
        <v>34</v>
      </c>
    </row>
    <row r="1054" spans="1:20" x14ac:dyDescent="0.25">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t="s">
        <v>83</v>
      </c>
      <c r="T1054" t="s">
        <v>96</v>
      </c>
    </row>
    <row r="1055" spans="1:20" x14ac:dyDescent="0.25">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t="s">
        <v>83</v>
      </c>
      <c r="T1055" t="s">
        <v>96</v>
      </c>
    </row>
    <row r="1056" spans="1:20" x14ac:dyDescent="0.25">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t="s">
        <v>129</v>
      </c>
      <c r="T1056" t="s">
        <v>96</v>
      </c>
    </row>
    <row r="1057" spans="1:20" x14ac:dyDescent="0.25">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t="s">
        <v>430</v>
      </c>
      <c r="T1057" t="s">
        <v>34</v>
      </c>
    </row>
    <row r="1058" spans="1:20" x14ac:dyDescent="0.25">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t="s">
        <v>430</v>
      </c>
      <c r="T1058" t="s">
        <v>77</v>
      </c>
    </row>
    <row r="1059" spans="1:20" x14ac:dyDescent="0.25">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t="s">
        <v>47</v>
      </c>
      <c r="T1059" t="s">
        <v>96</v>
      </c>
    </row>
    <row r="1060" spans="1:20" x14ac:dyDescent="0.25">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t="s">
        <v>83</v>
      </c>
      <c r="T1060" t="s">
        <v>34</v>
      </c>
    </row>
    <row r="1061" spans="1:20" x14ac:dyDescent="0.25">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t="s">
        <v>83</v>
      </c>
      <c r="T1061" t="s">
        <v>113</v>
      </c>
    </row>
    <row r="1062" spans="1:20" x14ac:dyDescent="0.25">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t="s">
        <v>58</v>
      </c>
      <c r="T1062" t="s">
        <v>297</v>
      </c>
    </row>
    <row r="1063" spans="1:20" x14ac:dyDescent="0.25">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t="s">
        <v>47</v>
      </c>
      <c r="T1063" t="s">
        <v>96</v>
      </c>
    </row>
    <row r="1064" spans="1:20" x14ac:dyDescent="0.25">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t="s">
        <v>47</v>
      </c>
      <c r="T1064" t="s">
        <v>96</v>
      </c>
    </row>
    <row r="1065" spans="1:20" x14ac:dyDescent="0.25">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t="s">
        <v>123</v>
      </c>
      <c r="T1065" t="s">
        <v>253</v>
      </c>
    </row>
    <row r="1066" spans="1:20" x14ac:dyDescent="0.25">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t="s">
        <v>83</v>
      </c>
      <c r="T1066" t="s">
        <v>59</v>
      </c>
    </row>
    <row r="1067" spans="1:20" x14ac:dyDescent="0.25">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t="s">
        <v>83</v>
      </c>
      <c r="T1067" t="s">
        <v>59</v>
      </c>
    </row>
    <row r="1068" spans="1:20" x14ac:dyDescent="0.25">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t="s">
        <v>129</v>
      </c>
      <c r="T1068" t="s">
        <v>71</v>
      </c>
    </row>
    <row r="1069" spans="1:20" x14ac:dyDescent="0.25">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t="s">
        <v>58</v>
      </c>
      <c r="T1069" t="s">
        <v>34</v>
      </c>
    </row>
    <row r="1070" spans="1:20" x14ac:dyDescent="0.25">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t="s">
        <v>58</v>
      </c>
      <c r="T1070" t="s">
        <v>71</v>
      </c>
    </row>
    <row r="1071" spans="1:20" x14ac:dyDescent="0.25">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t="s">
        <v>129</v>
      </c>
      <c r="T1071" t="s">
        <v>34</v>
      </c>
    </row>
    <row r="1072" spans="1:20" x14ac:dyDescent="0.25">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t="s">
        <v>70</v>
      </c>
      <c r="T1072" t="s">
        <v>161</v>
      </c>
    </row>
    <row r="1073" spans="1:20" x14ac:dyDescent="0.25">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t="s">
        <v>58</v>
      </c>
      <c r="T1073" t="s">
        <v>48</v>
      </c>
    </row>
    <row r="1074" spans="1:20" x14ac:dyDescent="0.25">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t="s">
        <v>129</v>
      </c>
      <c r="T1074" t="s">
        <v>113</v>
      </c>
    </row>
    <row r="1075" spans="1:20" x14ac:dyDescent="0.25">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t="s">
        <v>58</v>
      </c>
      <c r="T1075" t="s">
        <v>77</v>
      </c>
    </row>
    <row r="1076" spans="1:20" x14ac:dyDescent="0.25">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t="s">
        <v>33</v>
      </c>
      <c r="T1076" t="s">
        <v>34</v>
      </c>
    </row>
    <row r="1077" spans="1:20" x14ac:dyDescent="0.25">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t="s">
        <v>83</v>
      </c>
      <c r="T1077" t="s">
        <v>253</v>
      </c>
    </row>
    <row r="1078" spans="1:20" x14ac:dyDescent="0.25">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t="s">
        <v>430</v>
      </c>
      <c r="T1078" t="s">
        <v>77</v>
      </c>
    </row>
    <row r="1079" spans="1:20" x14ac:dyDescent="0.25">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t="s">
        <v>129</v>
      </c>
      <c r="T1079" t="s">
        <v>59</v>
      </c>
    </row>
    <row r="1080" spans="1:20" x14ac:dyDescent="0.25">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t="s">
        <v>58</v>
      </c>
      <c r="T1080" t="s">
        <v>59</v>
      </c>
    </row>
    <row r="1081" spans="1:20" x14ac:dyDescent="0.25">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t="s">
        <v>33</v>
      </c>
      <c r="T1081" t="s">
        <v>195</v>
      </c>
    </row>
    <row r="1082" spans="1:20" x14ac:dyDescent="0.25">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t="s">
        <v>33</v>
      </c>
      <c r="T1082" t="s">
        <v>195</v>
      </c>
    </row>
    <row r="1083" spans="1:20" x14ac:dyDescent="0.25">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t="s">
        <v>83</v>
      </c>
      <c r="T1083" t="s">
        <v>48</v>
      </c>
    </row>
    <row r="1084" spans="1:20" x14ac:dyDescent="0.25">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t="s">
        <v>123</v>
      </c>
      <c r="T1084" t="s">
        <v>253</v>
      </c>
    </row>
    <row r="1085" spans="1:20" x14ac:dyDescent="0.25">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t="s">
        <v>83</v>
      </c>
      <c r="T1085" t="s">
        <v>77</v>
      </c>
    </row>
    <row r="1086" spans="1:20" x14ac:dyDescent="0.25">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t="s">
        <v>83</v>
      </c>
      <c r="T1086" t="s">
        <v>77</v>
      </c>
    </row>
    <row r="1087" spans="1:20" x14ac:dyDescent="0.25">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t="s">
        <v>70</v>
      </c>
      <c r="T1087" t="s">
        <v>253</v>
      </c>
    </row>
    <row r="1088" spans="1:20" x14ac:dyDescent="0.25">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t="s">
        <v>70</v>
      </c>
      <c r="T1088" t="s">
        <v>195</v>
      </c>
    </row>
    <row r="1089" spans="1:20" x14ac:dyDescent="0.25">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t="s">
        <v>70</v>
      </c>
      <c r="T1089" t="s">
        <v>195</v>
      </c>
    </row>
    <row r="1090" spans="1:20" x14ac:dyDescent="0.25">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t="s">
        <v>33</v>
      </c>
      <c r="T1090" t="s">
        <v>77</v>
      </c>
    </row>
    <row r="1091" spans="1:20" x14ac:dyDescent="0.25">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t="s">
        <v>430</v>
      </c>
      <c r="T1091" t="s">
        <v>77</v>
      </c>
    </row>
    <row r="1092" spans="1:20" x14ac:dyDescent="0.25">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t="s">
        <v>430</v>
      </c>
      <c r="T1092" t="s">
        <v>169</v>
      </c>
    </row>
    <row r="1093" spans="1:20" x14ac:dyDescent="0.25">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t="s">
        <v>430</v>
      </c>
      <c r="T1093" t="s">
        <v>169</v>
      </c>
    </row>
    <row r="1094" spans="1:20" x14ac:dyDescent="0.25">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t="s">
        <v>70</v>
      </c>
      <c r="T1094" t="s">
        <v>34</v>
      </c>
    </row>
    <row r="1095" spans="1:20" x14ac:dyDescent="0.25">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t="s">
        <v>83</v>
      </c>
      <c r="T1095" t="s">
        <v>77</v>
      </c>
    </row>
    <row r="1096" spans="1:20" x14ac:dyDescent="0.25">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t="s">
        <v>58</v>
      </c>
      <c r="T1096" t="s">
        <v>77</v>
      </c>
    </row>
    <row r="1097" spans="1:20" x14ac:dyDescent="0.25">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t="s">
        <v>123</v>
      </c>
      <c r="T1097" t="s">
        <v>161</v>
      </c>
    </row>
    <row r="1098" spans="1:20" x14ac:dyDescent="0.25">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t="s">
        <v>47</v>
      </c>
      <c r="T1098" t="s">
        <v>77</v>
      </c>
    </row>
    <row r="1099" spans="1:20" x14ac:dyDescent="0.25">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t="s">
        <v>83</v>
      </c>
      <c r="T1099" t="s">
        <v>96</v>
      </c>
    </row>
    <row r="1100" spans="1:20" x14ac:dyDescent="0.25">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t="s">
        <v>83</v>
      </c>
      <c r="T1100" t="s">
        <v>71</v>
      </c>
    </row>
    <row r="1101" spans="1:20" x14ac:dyDescent="0.25">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t="s">
        <v>83</v>
      </c>
      <c r="T1101" t="s">
        <v>161</v>
      </c>
    </row>
    <row r="1102" spans="1:20" x14ac:dyDescent="0.25">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t="s">
        <v>83</v>
      </c>
      <c r="T1102" t="s">
        <v>34</v>
      </c>
    </row>
    <row r="1103" spans="1:20" x14ac:dyDescent="0.25">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t="s">
        <v>70</v>
      </c>
      <c r="T1103" t="s">
        <v>77</v>
      </c>
    </row>
    <row r="1104" spans="1:20" x14ac:dyDescent="0.25">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t="s">
        <v>58</v>
      </c>
      <c r="T1104" t="s">
        <v>297</v>
      </c>
    </row>
    <row r="1105" spans="1:20" x14ac:dyDescent="0.25">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t="s">
        <v>70</v>
      </c>
      <c r="T1105" t="s">
        <v>34</v>
      </c>
    </row>
    <row r="1106" spans="1:20" x14ac:dyDescent="0.25">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t="s">
        <v>58</v>
      </c>
      <c r="T1106" t="s">
        <v>113</v>
      </c>
    </row>
    <row r="1107" spans="1:20" x14ac:dyDescent="0.25">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t="s">
        <v>129</v>
      </c>
      <c r="T1107" t="s">
        <v>161</v>
      </c>
    </row>
    <row r="1108" spans="1:20" x14ac:dyDescent="0.25">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t="s">
        <v>33</v>
      </c>
      <c r="T1108" t="s">
        <v>48</v>
      </c>
    </row>
    <row r="1109" spans="1:20" x14ac:dyDescent="0.25">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t="s">
        <v>33</v>
      </c>
      <c r="T1109" t="s">
        <v>48</v>
      </c>
    </row>
    <row r="1110" spans="1:20" x14ac:dyDescent="0.25">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t="s">
        <v>33</v>
      </c>
      <c r="T1110" t="s">
        <v>48</v>
      </c>
    </row>
    <row r="1111" spans="1:20" x14ac:dyDescent="0.25">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t="s">
        <v>33</v>
      </c>
      <c r="T1111" t="s">
        <v>48</v>
      </c>
    </row>
    <row r="1112" spans="1:20" x14ac:dyDescent="0.25">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t="s">
        <v>58</v>
      </c>
      <c r="T1112" t="s">
        <v>96</v>
      </c>
    </row>
    <row r="1113" spans="1:20" x14ac:dyDescent="0.25">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t="s">
        <v>83</v>
      </c>
      <c r="T1113" t="s">
        <v>77</v>
      </c>
    </row>
    <row r="1114" spans="1:20" x14ac:dyDescent="0.25">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t="s">
        <v>129</v>
      </c>
      <c r="T1114" t="s">
        <v>253</v>
      </c>
    </row>
    <row r="1115" spans="1:20" x14ac:dyDescent="0.25">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t="s">
        <v>129</v>
      </c>
      <c r="T1115" t="s">
        <v>161</v>
      </c>
    </row>
    <row r="1116" spans="1:20" x14ac:dyDescent="0.25">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t="s">
        <v>83</v>
      </c>
      <c r="T1116" t="s">
        <v>113</v>
      </c>
    </row>
    <row r="1117" spans="1:20" x14ac:dyDescent="0.25">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t="s">
        <v>83</v>
      </c>
      <c r="T1117" t="s">
        <v>96</v>
      </c>
    </row>
    <row r="1118" spans="1:20" x14ac:dyDescent="0.25">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t="s">
        <v>83</v>
      </c>
      <c r="T1118" t="s">
        <v>113</v>
      </c>
    </row>
    <row r="1119" spans="1:20" x14ac:dyDescent="0.25">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t="s">
        <v>83</v>
      </c>
      <c r="T1119" t="s">
        <v>113</v>
      </c>
    </row>
    <row r="1120" spans="1:20" x14ac:dyDescent="0.25">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t="s">
        <v>129</v>
      </c>
      <c r="T1120" t="s">
        <v>48</v>
      </c>
    </row>
    <row r="1121" spans="1:20" x14ac:dyDescent="0.25">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t="s">
        <v>129</v>
      </c>
      <c r="T1121" t="s">
        <v>34</v>
      </c>
    </row>
    <row r="1122" spans="1:20" x14ac:dyDescent="0.25">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t="s">
        <v>430</v>
      </c>
      <c r="T1122" t="s">
        <v>77</v>
      </c>
    </row>
    <row r="1123" spans="1:20" x14ac:dyDescent="0.25">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t="s">
        <v>58</v>
      </c>
      <c r="T1123" t="s">
        <v>113</v>
      </c>
    </row>
    <row r="1124" spans="1:20" x14ac:dyDescent="0.25">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t="s">
        <v>33</v>
      </c>
      <c r="T1124" t="s">
        <v>96</v>
      </c>
    </row>
    <row r="1125" spans="1:20" x14ac:dyDescent="0.25">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t="s">
        <v>430</v>
      </c>
      <c r="T1125" t="s">
        <v>59</v>
      </c>
    </row>
    <row r="1126" spans="1:20" x14ac:dyDescent="0.25">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t="s">
        <v>70</v>
      </c>
      <c r="T1126" t="s">
        <v>77</v>
      </c>
    </row>
    <row r="1127" spans="1:20" x14ac:dyDescent="0.25">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t="s">
        <v>33</v>
      </c>
      <c r="T1127" t="s">
        <v>71</v>
      </c>
    </row>
    <row r="1128" spans="1:20" x14ac:dyDescent="0.25">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t="s">
        <v>33</v>
      </c>
      <c r="T1128" t="s">
        <v>71</v>
      </c>
    </row>
    <row r="1129" spans="1:20" x14ac:dyDescent="0.25">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t="s">
        <v>47</v>
      </c>
      <c r="T1129" t="s">
        <v>77</v>
      </c>
    </row>
    <row r="1130" spans="1:20" x14ac:dyDescent="0.25">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t="s">
        <v>83</v>
      </c>
      <c r="T1130" t="s">
        <v>96</v>
      </c>
    </row>
    <row r="1131" spans="1:20" x14ac:dyDescent="0.25">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t="s">
        <v>70</v>
      </c>
      <c r="T1131" t="s">
        <v>77</v>
      </c>
    </row>
    <row r="1132" spans="1:20" x14ac:dyDescent="0.25">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t="s">
        <v>129</v>
      </c>
      <c r="T1132" t="s">
        <v>77</v>
      </c>
    </row>
    <row r="1133" spans="1:20" x14ac:dyDescent="0.25">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t="s">
        <v>123</v>
      </c>
      <c r="T1133" t="s">
        <v>169</v>
      </c>
    </row>
    <row r="1134" spans="1:20" x14ac:dyDescent="0.25">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t="s">
        <v>58</v>
      </c>
      <c r="T1134" t="s">
        <v>59</v>
      </c>
    </row>
    <row r="1135" spans="1:20" x14ac:dyDescent="0.25">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t="s">
        <v>123</v>
      </c>
      <c r="T1135" t="s">
        <v>77</v>
      </c>
    </row>
    <row r="1136" spans="1:20" x14ac:dyDescent="0.25">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t="s">
        <v>83</v>
      </c>
      <c r="T1136" t="s">
        <v>96</v>
      </c>
    </row>
    <row r="1137" spans="1:20" x14ac:dyDescent="0.25">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t="s">
        <v>83</v>
      </c>
      <c r="T1137" t="s">
        <v>96</v>
      </c>
    </row>
    <row r="1138" spans="1:20" x14ac:dyDescent="0.25">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t="s">
        <v>58</v>
      </c>
      <c r="T1138" t="s">
        <v>169</v>
      </c>
    </row>
    <row r="1139" spans="1:20" x14ac:dyDescent="0.25">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t="s">
        <v>33</v>
      </c>
      <c r="T1139" t="s">
        <v>113</v>
      </c>
    </row>
    <row r="1140" spans="1:20" x14ac:dyDescent="0.25">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t="s">
        <v>430</v>
      </c>
      <c r="T1140" t="s">
        <v>34</v>
      </c>
    </row>
    <row r="1141" spans="1:20" x14ac:dyDescent="0.25">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t="s">
        <v>33</v>
      </c>
      <c r="T1141" t="s">
        <v>71</v>
      </c>
    </row>
    <row r="1142" spans="1:20" x14ac:dyDescent="0.25">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t="s">
        <v>83</v>
      </c>
      <c r="T1142" t="s">
        <v>34</v>
      </c>
    </row>
    <row r="1143" spans="1:20" x14ac:dyDescent="0.25">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t="s">
        <v>83</v>
      </c>
      <c r="T1143" t="s">
        <v>48</v>
      </c>
    </row>
    <row r="1144" spans="1:20" x14ac:dyDescent="0.25">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t="s">
        <v>58</v>
      </c>
      <c r="T1144" t="s">
        <v>96</v>
      </c>
    </row>
    <row r="1145" spans="1:20" x14ac:dyDescent="0.25">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t="s">
        <v>58</v>
      </c>
      <c r="T1145" t="s">
        <v>96</v>
      </c>
    </row>
    <row r="1146" spans="1:20" x14ac:dyDescent="0.25">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t="s">
        <v>83</v>
      </c>
      <c r="T1146" t="s">
        <v>161</v>
      </c>
    </row>
    <row r="1147" spans="1:20" x14ac:dyDescent="0.25">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t="s">
        <v>129</v>
      </c>
      <c r="T1147" t="s">
        <v>96</v>
      </c>
    </row>
    <row r="1148" spans="1:20" x14ac:dyDescent="0.25">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t="s">
        <v>123</v>
      </c>
      <c r="T1148" t="s">
        <v>77</v>
      </c>
    </row>
    <row r="1149" spans="1:20" x14ac:dyDescent="0.25">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t="s">
        <v>83</v>
      </c>
      <c r="T1149" t="s">
        <v>34</v>
      </c>
    </row>
    <row r="1150" spans="1:20" x14ac:dyDescent="0.25">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t="s">
        <v>83</v>
      </c>
      <c r="T1150" t="s">
        <v>48</v>
      </c>
    </row>
    <row r="1151" spans="1:20" x14ac:dyDescent="0.25">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t="s">
        <v>83</v>
      </c>
      <c r="T1151" t="s">
        <v>96</v>
      </c>
    </row>
    <row r="1152" spans="1:20" x14ac:dyDescent="0.25">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t="s">
        <v>430</v>
      </c>
      <c r="T1152" t="s">
        <v>195</v>
      </c>
    </row>
    <row r="1153" spans="1:20" x14ac:dyDescent="0.25">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t="s">
        <v>83</v>
      </c>
      <c r="T1153" t="s">
        <v>96</v>
      </c>
    </row>
    <row r="1154" spans="1:20" x14ac:dyDescent="0.25">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t="s">
        <v>58</v>
      </c>
      <c r="T1154" t="s">
        <v>77</v>
      </c>
    </row>
    <row r="1155" spans="1:20" x14ac:dyDescent="0.25">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t="s">
        <v>83</v>
      </c>
      <c r="T1155" t="s">
        <v>48</v>
      </c>
    </row>
    <row r="1156" spans="1:20" x14ac:dyDescent="0.25">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t="s">
        <v>83</v>
      </c>
      <c r="T1156" t="s">
        <v>96</v>
      </c>
    </row>
    <row r="1157" spans="1:20" x14ac:dyDescent="0.25">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t="s">
        <v>58</v>
      </c>
      <c r="T1157" t="s">
        <v>48</v>
      </c>
    </row>
    <row r="1158" spans="1:20" x14ac:dyDescent="0.25">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t="s">
        <v>58</v>
      </c>
      <c r="T1158" t="s">
        <v>77</v>
      </c>
    </row>
    <row r="1159" spans="1:20" x14ac:dyDescent="0.25">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t="s">
        <v>58</v>
      </c>
      <c r="T1159" t="s">
        <v>77</v>
      </c>
    </row>
    <row r="1160" spans="1:20" x14ac:dyDescent="0.25">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t="s">
        <v>83</v>
      </c>
      <c r="T1160" t="s">
        <v>59</v>
      </c>
    </row>
    <row r="1161" spans="1:20" x14ac:dyDescent="0.25">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t="s">
        <v>58</v>
      </c>
      <c r="T1161" t="s">
        <v>77</v>
      </c>
    </row>
    <row r="1162" spans="1:20" x14ac:dyDescent="0.25">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t="s">
        <v>58</v>
      </c>
      <c r="T1162" t="s">
        <v>77</v>
      </c>
    </row>
    <row r="1163" spans="1:20" x14ac:dyDescent="0.25">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t="s">
        <v>70</v>
      </c>
      <c r="T1163" t="s">
        <v>77</v>
      </c>
    </row>
    <row r="1164" spans="1:20" x14ac:dyDescent="0.25">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t="s">
        <v>70</v>
      </c>
      <c r="T1164" t="s">
        <v>77</v>
      </c>
    </row>
    <row r="1165" spans="1:20" x14ac:dyDescent="0.25">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t="s">
        <v>58</v>
      </c>
      <c r="T1165" t="s">
        <v>59</v>
      </c>
    </row>
    <row r="1166" spans="1:20" x14ac:dyDescent="0.25">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t="s">
        <v>70</v>
      </c>
      <c r="T1166" t="s">
        <v>253</v>
      </c>
    </row>
    <row r="1167" spans="1:20" x14ac:dyDescent="0.25">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t="s">
        <v>83</v>
      </c>
      <c r="T1167" t="s">
        <v>297</v>
      </c>
    </row>
    <row r="1168" spans="1:20" x14ac:dyDescent="0.25">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t="s">
        <v>47</v>
      </c>
      <c r="T1168" t="s">
        <v>195</v>
      </c>
    </row>
    <row r="1169" spans="1:20" x14ac:dyDescent="0.25">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t="s">
        <v>129</v>
      </c>
      <c r="T1169" t="s">
        <v>96</v>
      </c>
    </row>
    <row r="1170" spans="1:20" x14ac:dyDescent="0.25">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t="s">
        <v>129</v>
      </c>
      <c r="T1170" t="s">
        <v>96</v>
      </c>
    </row>
    <row r="1171" spans="1:20" x14ac:dyDescent="0.25">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t="s">
        <v>83</v>
      </c>
      <c r="T1171" t="s">
        <v>113</v>
      </c>
    </row>
    <row r="1172" spans="1:20" x14ac:dyDescent="0.25">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t="s">
        <v>58</v>
      </c>
      <c r="T1172" t="s">
        <v>113</v>
      </c>
    </row>
    <row r="1173" spans="1:20" x14ac:dyDescent="0.25">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t="s">
        <v>58</v>
      </c>
      <c r="T1173" t="s">
        <v>169</v>
      </c>
    </row>
    <row r="1174" spans="1:20" x14ac:dyDescent="0.25">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t="s">
        <v>70</v>
      </c>
      <c r="T1174" t="s">
        <v>71</v>
      </c>
    </row>
    <row r="1175" spans="1:20" x14ac:dyDescent="0.25">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t="s">
        <v>33</v>
      </c>
      <c r="T1175" t="s">
        <v>96</v>
      </c>
    </row>
    <row r="1176" spans="1:20" x14ac:dyDescent="0.25">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t="s">
        <v>47</v>
      </c>
      <c r="T1176" t="s">
        <v>77</v>
      </c>
    </row>
    <row r="1177" spans="1:20" x14ac:dyDescent="0.25">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t="s">
        <v>70</v>
      </c>
      <c r="T1177" t="s">
        <v>59</v>
      </c>
    </row>
    <row r="1178" spans="1:20" x14ac:dyDescent="0.25">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t="s">
        <v>47</v>
      </c>
      <c r="T1178" t="s">
        <v>96</v>
      </c>
    </row>
    <row r="1179" spans="1:20" x14ac:dyDescent="0.25">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t="s">
        <v>430</v>
      </c>
      <c r="T1179" t="s">
        <v>71</v>
      </c>
    </row>
    <row r="1180" spans="1:20" x14ac:dyDescent="0.25">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t="s">
        <v>58</v>
      </c>
      <c r="T1180" t="s">
        <v>96</v>
      </c>
    </row>
    <row r="1181" spans="1:20" x14ac:dyDescent="0.25">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t="s">
        <v>129</v>
      </c>
      <c r="T1181" t="s">
        <v>96</v>
      </c>
    </row>
    <row r="1182" spans="1:20" x14ac:dyDescent="0.25">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t="s">
        <v>70</v>
      </c>
      <c r="T1182" t="s">
        <v>161</v>
      </c>
    </row>
    <row r="1183" spans="1:20" x14ac:dyDescent="0.25">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t="s">
        <v>47</v>
      </c>
      <c r="T1183" t="s">
        <v>96</v>
      </c>
    </row>
    <row r="1184" spans="1:20" x14ac:dyDescent="0.25">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t="s">
        <v>47</v>
      </c>
      <c r="T1184" t="s">
        <v>161</v>
      </c>
    </row>
    <row r="1185" spans="1:20" x14ac:dyDescent="0.25">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t="s">
        <v>47</v>
      </c>
      <c r="T1185" t="s">
        <v>161</v>
      </c>
    </row>
    <row r="1186" spans="1:20" x14ac:dyDescent="0.25">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t="s">
        <v>58</v>
      </c>
      <c r="T1186" t="s">
        <v>96</v>
      </c>
    </row>
    <row r="1187" spans="1:20" x14ac:dyDescent="0.25">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t="s">
        <v>33</v>
      </c>
      <c r="T1187" t="s">
        <v>59</v>
      </c>
    </row>
    <row r="1188" spans="1:20" x14ac:dyDescent="0.25">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t="s">
        <v>33</v>
      </c>
      <c r="T1188" t="s">
        <v>59</v>
      </c>
    </row>
    <row r="1189" spans="1:20" x14ac:dyDescent="0.25">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t="s">
        <v>58</v>
      </c>
      <c r="T1189" t="s">
        <v>169</v>
      </c>
    </row>
    <row r="1190" spans="1:20" x14ac:dyDescent="0.25">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t="s">
        <v>33</v>
      </c>
      <c r="T1190" t="s">
        <v>195</v>
      </c>
    </row>
    <row r="1191" spans="1:20" x14ac:dyDescent="0.25">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t="s">
        <v>33</v>
      </c>
      <c r="T1191" t="s">
        <v>195</v>
      </c>
    </row>
    <row r="1192" spans="1:20" x14ac:dyDescent="0.25">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t="s">
        <v>129</v>
      </c>
      <c r="T1192" t="s">
        <v>161</v>
      </c>
    </row>
    <row r="1193" spans="1:20" x14ac:dyDescent="0.25">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t="s">
        <v>47</v>
      </c>
      <c r="T1193" t="s">
        <v>297</v>
      </c>
    </row>
    <row r="1194" spans="1:20" x14ac:dyDescent="0.25">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t="s">
        <v>58</v>
      </c>
      <c r="T1194" t="s">
        <v>253</v>
      </c>
    </row>
    <row r="1195" spans="1:20" x14ac:dyDescent="0.25">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t="s">
        <v>33</v>
      </c>
      <c r="T1195" t="s">
        <v>253</v>
      </c>
    </row>
    <row r="1196" spans="1:20" x14ac:dyDescent="0.25">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t="s">
        <v>70</v>
      </c>
      <c r="T1196" t="s">
        <v>34</v>
      </c>
    </row>
    <row r="1197" spans="1:20" x14ac:dyDescent="0.25">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t="s">
        <v>83</v>
      </c>
      <c r="T1197" t="s">
        <v>77</v>
      </c>
    </row>
    <row r="1198" spans="1:20" x14ac:dyDescent="0.25">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t="s">
        <v>83</v>
      </c>
      <c r="T1198" t="s">
        <v>113</v>
      </c>
    </row>
    <row r="1199" spans="1:20" x14ac:dyDescent="0.25">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t="s">
        <v>47</v>
      </c>
      <c r="T1199" t="s">
        <v>34</v>
      </c>
    </row>
    <row r="1200" spans="1:20" x14ac:dyDescent="0.25">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t="s">
        <v>129</v>
      </c>
      <c r="T1200" t="s">
        <v>48</v>
      </c>
    </row>
    <row r="1201" spans="1:20" x14ac:dyDescent="0.25">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t="s">
        <v>83</v>
      </c>
      <c r="T1201" t="s">
        <v>113</v>
      </c>
    </row>
    <row r="1202" spans="1:20" x14ac:dyDescent="0.25">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t="s">
        <v>33</v>
      </c>
      <c r="T1202" t="s">
        <v>77</v>
      </c>
    </row>
    <row r="1203" spans="1:20" x14ac:dyDescent="0.25">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t="s">
        <v>33</v>
      </c>
      <c r="T1203" t="s">
        <v>77</v>
      </c>
    </row>
    <row r="1204" spans="1:20" x14ac:dyDescent="0.25">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t="s">
        <v>83</v>
      </c>
      <c r="T1204" t="s">
        <v>77</v>
      </c>
    </row>
    <row r="1205" spans="1:20" x14ac:dyDescent="0.25">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t="s">
        <v>58</v>
      </c>
      <c r="T1205" t="s">
        <v>253</v>
      </c>
    </row>
    <row r="1206" spans="1:20" x14ac:dyDescent="0.25">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t="s">
        <v>129</v>
      </c>
      <c r="T1206" t="s">
        <v>34</v>
      </c>
    </row>
    <row r="1207" spans="1:20" x14ac:dyDescent="0.25">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t="s">
        <v>58</v>
      </c>
      <c r="T1207" t="s">
        <v>297</v>
      </c>
    </row>
    <row r="1208" spans="1:20" x14ac:dyDescent="0.25">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t="s">
        <v>83</v>
      </c>
      <c r="T1208" t="s">
        <v>195</v>
      </c>
    </row>
    <row r="1209" spans="1:20" x14ac:dyDescent="0.25">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t="s">
        <v>129</v>
      </c>
      <c r="T1209" t="s">
        <v>161</v>
      </c>
    </row>
    <row r="1210" spans="1:20" x14ac:dyDescent="0.25">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t="s">
        <v>33</v>
      </c>
      <c r="T1210" t="s">
        <v>77</v>
      </c>
    </row>
    <row r="1211" spans="1:20" x14ac:dyDescent="0.25">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t="s">
        <v>33</v>
      </c>
      <c r="T1211" t="s">
        <v>77</v>
      </c>
    </row>
    <row r="1212" spans="1:20" x14ac:dyDescent="0.25">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t="s">
        <v>83</v>
      </c>
      <c r="T1212" t="s">
        <v>96</v>
      </c>
    </row>
    <row r="1213" spans="1:20" x14ac:dyDescent="0.25">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t="s">
        <v>83</v>
      </c>
      <c r="T1213" t="s">
        <v>96</v>
      </c>
    </row>
    <row r="1214" spans="1:20" x14ac:dyDescent="0.25">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t="s">
        <v>58</v>
      </c>
      <c r="T1214" t="s">
        <v>71</v>
      </c>
    </row>
    <row r="1215" spans="1:20" x14ac:dyDescent="0.25">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t="s">
        <v>83</v>
      </c>
      <c r="T1215" t="s">
        <v>77</v>
      </c>
    </row>
    <row r="1216" spans="1:20" x14ac:dyDescent="0.25">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t="s">
        <v>83</v>
      </c>
      <c r="T1216" t="s">
        <v>34</v>
      </c>
    </row>
    <row r="1217" spans="1:20" x14ac:dyDescent="0.25">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t="s">
        <v>83</v>
      </c>
      <c r="T1217" t="s">
        <v>34</v>
      </c>
    </row>
    <row r="1218" spans="1:20" x14ac:dyDescent="0.25">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t="s">
        <v>83</v>
      </c>
      <c r="T1218" t="s">
        <v>34</v>
      </c>
    </row>
    <row r="1219" spans="1:20" x14ac:dyDescent="0.25">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t="s">
        <v>83</v>
      </c>
      <c r="T1219" t="s">
        <v>34</v>
      </c>
    </row>
    <row r="1220" spans="1:20" x14ac:dyDescent="0.25">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t="s">
        <v>129</v>
      </c>
      <c r="T1220" t="s">
        <v>253</v>
      </c>
    </row>
    <row r="1221" spans="1:20" x14ac:dyDescent="0.25">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t="s">
        <v>83</v>
      </c>
      <c r="T1221" t="s">
        <v>77</v>
      </c>
    </row>
    <row r="1222" spans="1:20" x14ac:dyDescent="0.25">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t="s">
        <v>47</v>
      </c>
      <c r="T1222" t="s">
        <v>34</v>
      </c>
    </row>
    <row r="1223" spans="1:20" x14ac:dyDescent="0.25">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t="s">
        <v>70</v>
      </c>
      <c r="T1223" t="s">
        <v>253</v>
      </c>
    </row>
    <row r="1224" spans="1:20" x14ac:dyDescent="0.25">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t="s">
        <v>58</v>
      </c>
      <c r="T1224" t="s">
        <v>34</v>
      </c>
    </row>
    <row r="1225" spans="1:20" x14ac:dyDescent="0.25">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t="s">
        <v>430</v>
      </c>
      <c r="T1225" t="s">
        <v>59</v>
      </c>
    </row>
    <row r="1226" spans="1:20" x14ac:dyDescent="0.25">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t="s">
        <v>83</v>
      </c>
      <c r="T1226" t="s">
        <v>77</v>
      </c>
    </row>
    <row r="1227" spans="1:20" x14ac:dyDescent="0.25">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t="s">
        <v>83</v>
      </c>
      <c r="T1227" t="s">
        <v>77</v>
      </c>
    </row>
    <row r="1228" spans="1:20" x14ac:dyDescent="0.25">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t="s">
        <v>83</v>
      </c>
      <c r="T1228" t="s">
        <v>77</v>
      </c>
    </row>
    <row r="1229" spans="1:20" x14ac:dyDescent="0.25">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t="s">
        <v>70</v>
      </c>
      <c r="T1229" t="s">
        <v>195</v>
      </c>
    </row>
    <row r="1230" spans="1:20" x14ac:dyDescent="0.25">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t="s">
        <v>129</v>
      </c>
      <c r="T1230" t="s">
        <v>113</v>
      </c>
    </row>
    <row r="1231" spans="1:20" x14ac:dyDescent="0.25">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t="s">
        <v>58</v>
      </c>
      <c r="T1231" t="s">
        <v>34</v>
      </c>
    </row>
    <row r="1232" spans="1:20" x14ac:dyDescent="0.25">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t="s">
        <v>58</v>
      </c>
      <c r="T1232" t="s">
        <v>96</v>
      </c>
    </row>
    <row r="1233" spans="1:20" x14ac:dyDescent="0.25">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t="s">
        <v>129</v>
      </c>
      <c r="T1233" t="s">
        <v>77</v>
      </c>
    </row>
    <row r="1234" spans="1:20" x14ac:dyDescent="0.25">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t="s">
        <v>129</v>
      </c>
      <c r="T1234" t="s">
        <v>77</v>
      </c>
    </row>
    <row r="1235" spans="1:20" x14ac:dyDescent="0.25">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t="s">
        <v>129</v>
      </c>
      <c r="T1235" t="s">
        <v>77</v>
      </c>
    </row>
    <row r="1236" spans="1:20" x14ac:dyDescent="0.25">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t="s">
        <v>83</v>
      </c>
      <c r="T1236" t="s">
        <v>34</v>
      </c>
    </row>
    <row r="1237" spans="1:20" x14ac:dyDescent="0.25">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t="s">
        <v>83</v>
      </c>
      <c r="T1237" t="s">
        <v>113</v>
      </c>
    </row>
    <row r="1238" spans="1:20" x14ac:dyDescent="0.25">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t="s">
        <v>83</v>
      </c>
      <c r="T1238" t="s">
        <v>48</v>
      </c>
    </row>
    <row r="1239" spans="1:20" x14ac:dyDescent="0.25">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t="s">
        <v>70</v>
      </c>
      <c r="T1239" t="s">
        <v>71</v>
      </c>
    </row>
    <row r="1240" spans="1:20" x14ac:dyDescent="0.25">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t="s">
        <v>430</v>
      </c>
      <c r="T1240" t="s">
        <v>71</v>
      </c>
    </row>
    <row r="1241" spans="1:20" x14ac:dyDescent="0.25">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t="s">
        <v>83</v>
      </c>
      <c r="T1241" t="s">
        <v>253</v>
      </c>
    </row>
    <row r="1242" spans="1:20" x14ac:dyDescent="0.25">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t="s">
        <v>83</v>
      </c>
      <c r="T1242" t="s">
        <v>34</v>
      </c>
    </row>
    <row r="1243" spans="1:20" x14ac:dyDescent="0.25">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t="s">
        <v>83</v>
      </c>
      <c r="T1243" t="s">
        <v>34</v>
      </c>
    </row>
    <row r="1244" spans="1:20" x14ac:dyDescent="0.25">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t="s">
        <v>33</v>
      </c>
      <c r="T1244" t="s">
        <v>195</v>
      </c>
    </row>
    <row r="1245" spans="1:20" x14ac:dyDescent="0.25">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t="s">
        <v>58</v>
      </c>
      <c r="T1245" t="s">
        <v>297</v>
      </c>
    </row>
    <row r="1246" spans="1:20" x14ac:dyDescent="0.25">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t="s">
        <v>70</v>
      </c>
      <c r="T1246" t="s">
        <v>71</v>
      </c>
    </row>
    <row r="1247" spans="1:20" x14ac:dyDescent="0.25">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t="s">
        <v>58</v>
      </c>
      <c r="T1247" t="s">
        <v>297</v>
      </c>
    </row>
    <row r="1248" spans="1:20" x14ac:dyDescent="0.25">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t="s">
        <v>129</v>
      </c>
      <c r="T1248" t="s">
        <v>77</v>
      </c>
    </row>
    <row r="1249" spans="1:20" x14ac:dyDescent="0.25">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t="s">
        <v>129</v>
      </c>
      <c r="T1249" t="s">
        <v>77</v>
      </c>
    </row>
    <row r="1250" spans="1:20" x14ac:dyDescent="0.25">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t="s">
        <v>129</v>
      </c>
      <c r="T1250" t="s">
        <v>71</v>
      </c>
    </row>
    <row r="1251" spans="1:20" x14ac:dyDescent="0.25">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t="s">
        <v>129</v>
      </c>
      <c r="T1251" t="s">
        <v>71</v>
      </c>
    </row>
    <row r="1252" spans="1:20" x14ac:dyDescent="0.25">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t="s">
        <v>129</v>
      </c>
      <c r="T1252" t="s">
        <v>77</v>
      </c>
    </row>
    <row r="1253" spans="1:20" x14ac:dyDescent="0.25">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t="s">
        <v>430</v>
      </c>
      <c r="T1253" t="s">
        <v>96</v>
      </c>
    </row>
    <row r="1254" spans="1:20" x14ac:dyDescent="0.25">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t="s">
        <v>430</v>
      </c>
      <c r="T1254" t="s">
        <v>96</v>
      </c>
    </row>
    <row r="1255" spans="1:20" x14ac:dyDescent="0.25">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t="s">
        <v>83</v>
      </c>
      <c r="T1255" t="s">
        <v>96</v>
      </c>
    </row>
    <row r="1256" spans="1:20" x14ac:dyDescent="0.25">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t="s">
        <v>83</v>
      </c>
      <c r="T1256" t="s">
        <v>96</v>
      </c>
    </row>
    <row r="1257" spans="1:20" x14ac:dyDescent="0.25">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t="s">
        <v>83</v>
      </c>
      <c r="T1257" t="s">
        <v>77</v>
      </c>
    </row>
    <row r="1258" spans="1:20" x14ac:dyDescent="0.25">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t="s">
        <v>58</v>
      </c>
      <c r="T1258" t="s">
        <v>34</v>
      </c>
    </row>
    <row r="1259" spans="1:20" x14ac:dyDescent="0.25">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t="s">
        <v>70</v>
      </c>
      <c r="T1259" t="s">
        <v>113</v>
      </c>
    </row>
    <row r="1260" spans="1:20" x14ac:dyDescent="0.25">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t="s">
        <v>129</v>
      </c>
      <c r="T1260" t="s">
        <v>113</v>
      </c>
    </row>
    <row r="1261" spans="1:20" x14ac:dyDescent="0.25">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t="s">
        <v>129</v>
      </c>
      <c r="T1261" t="s">
        <v>113</v>
      </c>
    </row>
    <row r="1262" spans="1:20" x14ac:dyDescent="0.25">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t="s">
        <v>430</v>
      </c>
      <c r="T1262" t="s">
        <v>71</v>
      </c>
    </row>
    <row r="1263" spans="1:20" x14ac:dyDescent="0.25">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t="s">
        <v>47</v>
      </c>
      <c r="T1263" t="s">
        <v>96</v>
      </c>
    </row>
    <row r="1264" spans="1:20" x14ac:dyDescent="0.25">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t="s">
        <v>83</v>
      </c>
      <c r="T1264" t="s">
        <v>96</v>
      </c>
    </row>
    <row r="1265" spans="1:20" x14ac:dyDescent="0.25">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t="s">
        <v>83</v>
      </c>
      <c r="T1265" t="s">
        <v>77</v>
      </c>
    </row>
    <row r="1266" spans="1:20" x14ac:dyDescent="0.25">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t="s">
        <v>83</v>
      </c>
      <c r="T1266" t="s">
        <v>297</v>
      </c>
    </row>
    <row r="1267" spans="1:20" x14ac:dyDescent="0.25">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t="s">
        <v>58</v>
      </c>
      <c r="T1267" t="s">
        <v>161</v>
      </c>
    </row>
    <row r="1268" spans="1:20" x14ac:dyDescent="0.25">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t="s">
        <v>58</v>
      </c>
      <c r="T1268" t="s">
        <v>77</v>
      </c>
    </row>
    <row r="1269" spans="1:20" x14ac:dyDescent="0.25">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t="s">
        <v>47</v>
      </c>
      <c r="T1269" t="s">
        <v>59</v>
      </c>
    </row>
    <row r="1270" spans="1:20" x14ac:dyDescent="0.25">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t="s">
        <v>33</v>
      </c>
      <c r="T1270" t="s">
        <v>77</v>
      </c>
    </row>
    <row r="1271" spans="1:20" x14ac:dyDescent="0.25">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t="s">
        <v>83</v>
      </c>
      <c r="T1271" t="s">
        <v>161</v>
      </c>
    </row>
    <row r="1272" spans="1:20" x14ac:dyDescent="0.25">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t="s">
        <v>83</v>
      </c>
      <c r="T1272" t="s">
        <v>161</v>
      </c>
    </row>
    <row r="1273" spans="1:20" x14ac:dyDescent="0.25">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t="s">
        <v>129</v>
      </c>
      <c r="T1273" t="s">
        <v>77</v>
      </c>
    </row>
    <row r="1274" spans="1:20" x14ac:dyDescent="0.25">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t="s">
        <v>430</v>
      </c>
      <c r="T1274" t="s">
        <v>297</v>
      </c>
    </row>
    <row r="1275" spans="1:20" x14ac:dyDescent="0.25">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t="s">
        <v>83</v>
      </c>
      <c r="T1275" t="s">
        <v>96</v>
      </c>
    </row>
    <row r="1276" spans="1:20" x14ac:dyDescent="0.25">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t="s">
        <v>129</v>
      </c>
      <c r="T1276" t="s">
        <v>77</v>
      </c>
    </row>
    <row r="1277" spans="1:20" x14ac:dyDescent="0.25">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t="s">
        <v>129</v>
      </c>
      <c r="T1277" t="s">
        <v>77</v>
      </c>
    </row>
    <row r="1278" spans="1:20" x14ac:dyDescent="0.25">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t="s">
        <v>129</v>
      </c>
      <c r="T1278" t="s">
        <v>77</v>
      </c>
    </row>
    <row r="1279" spans="1:20" x14ac:dyDescent="0.25">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t="s">
        <v>129</v>
      </c>
      <c r="T1279" t="s">
        <v>77</v>
      </c>
    </row>
    <row r="1280" spans="1:20" x14ac:dyDescent="0.25">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t="s">
        <v>70</v>
      </c>
      <c r="T1280" t="s">
        <v>253</v>
      </c>
    </row>
    <row r="1281" spans="1:20" x14ac:dyDescent="0.25">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t="s">
        <v>83</v>
      </c>
      <c r="T1281" t="s">
        <v>34</v>
      </c>
    </row>
    <row r="1282" spans="1:20" x14ac:dyDescent="0.25">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t="s">
        <v>83</v>
      </c>
      <c r="T1282" t="s">
        <v>34</v>
      </c>
    </row>
    <row r="1283" spans="1:20" x14ac:dyDescent="0.25">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t="s">
        <v>83</v>
      </c>
      <c r="T1283" t="s">
        <v>34</v>
      </c>
    </row>
    <row r="1284" spans="1:20" x14ac:dyDescent="0.25">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t="s">
        <v>129</v>
      </c>
      <c r="T1284" t="s">
        <v>77</v>
      </c>
    </row>
    <row r="1285" spans="1:20" x14ac:dyDescent="0.25">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t="s">
        <v>129</v>
      </c>
      <c r="T1285" t="s">
        <v>77</v>
      </c>
    </row>
    <row r="1286" spans="1:20" x14ac:dyDescent="0.25">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t="s">
        <v>129</v>
      </c>
      <c r="T1286" t="s">
        <v>195</v>
      </c>
    </row>
    <row r="1287" spans="1:20" x14ac:dyDescent="0.25">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t="s">
        <v>83</v>
      </c>
      <c r="T1287" t="s">
        <v>96</v>
      </c>
    </row>
    <row r="1288" spans="1:20" x14ac:dyDescent="0.25">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t="s">
        <v>33</v>
      </c>
      <c r="T1288" t="s">
        <v>253</v>
      </c>
    </row>
    <row r="1289" spans="1:20" x14ac:dyDescent="0.25">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t="s">
        <v>58</v>
      </c>
      <c r="T1289" t="s">
        <v>195</v>
      </c>
    </row>
    <row r="1290" spans="1:20" x14ac:dyDescent="0.25">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t="s">
        <v>33</v>
      </c>
      <c r="T1290" t="s">
        <v>96</v>
      </c>
    </row>
    <row r="1291" spans="1:20" x14ac:dyDescent="0.25">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t="s">
        <v>33</v>
      </c>
      <c r="T1291" t="s">
        <v>113</v>
      </c>
    </row>
    <row r="1292" spans="1:20" x14ac:dyDescent="0.25">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t="s">
        <v>33</v>
      </c>
      <c r="T1292" t="s">
        <v>195</v>
      </c>
    </row>
    <row r="1293" spans="1:20" x14ac:dyDescent="0.25">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t="s">
        <v>33</v>
      </c>
      <c r="T1293" t="s">
        <v>113</v>
      </c>
    </row>
    <row r="1294" spans="1:20" x14ac:dyDescent="0.25">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t="s">
        <v>33</v>
      </c>
      <c r="T1294" t="s">
        <v>113</v>
      </c>
    </row>
    <row r="1295" spans="1:20" x14ac:dyDescent="0.25">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t="s">
        <v>70</v>
      </c>
      <c r="T1295" t="s">
        <v>195</v>
      </c>
    </row>
    <row r="1296" spans="1:20" x14ac:dyDescent="0.25">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t="s">
        <v>70</v>
      </c>
      <c r="T1296" t="s">
        <v>195</v>
      </c>
    </row>
    <row r="1297" spans="1:20" x14ac:dyDescent="0.25">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t="s">
        <v>58</v>
      </c>
      <c r="T1297" t="s">
        <v>77</v>
      </c>
    </row>
    <row r="1298" spans="1:20" x14ac:dyDescent="0.25">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t="s">
        <v>70</v>
      </c>
      <c r="T1298" t="s">
        <v>96</v>
      </c>
    </row>
    <row r="1299" spans="1:20" x14ac:dyDescent="0.25">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t="s">
        <v>83</v>
      </c>
      <c r="T1299" t="s">
        <v>96</v>
      </c>
    </row>
    <row r="1300" spans="1:20" x14ac:dyDescent="0.25">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t="s">
        <v>47</v>
      </c>
      <c r="T1300" t="s">
        <v>96</v>
      </c>
    </row>
    <row r="1301" spans="1:20" x14ac:dyDescent="0.25">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t="s">
        <v>70</v>
      </c>
      <c r="T1301" t="s">
        <v>96</v>
      </c>
    </row>
    <row r="1302" spans="1:20" x14ac:dyDescent="0.25">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t="s">
        <v>83</v>
      </c>
      <c r="T1302" t="s">
        <v>48</v>
      </c>
    </row>
    <row r="1303" spans="1:20" x14ac:dyDescent="0.25">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t="s">
        <v>47</v>
      </c>
      <c r="T1303" t="s">
        <v>253</v>
      </c>
    </row>
    <row r="1304" spans="1:20" x14ac:dyDescent="0.25">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t="s">
        <v>58</v>
      </c>
      <c r="T1304" t="s">
        <v>34</v>
      </c>
    </row>
    <row r="1305" spans="1:20" x14ac:dyDescent="0.25">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t="s">
        <v>83</v>
      </c>
      <c r="T1305" t="s">
        <v>96</v>
      </c>
    </row>
    <row r="1306" spans="1:20" x14ac:dyDescent="0.25">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t="s">
        <v>83</v>
      </c>
      <c r="T1306" t="s">
        <v>48</v>
      </c>
    </row>
    <row r="1307" spans="1:20" x14ac:dyDescent="0.25">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t="s">
        <v>83</v>
      </c>
      <c r="T1307" t="s">
        <v>48</v>
      </c>
    </row>
    <row r="1308" spans="1:20" x14ac:dyDescent="0.25">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t="s">
        <v>430</v>
      </c>
      <c r="T1308" t="s">
        <v>77</v>
      </c>
    </row>
    <row r="1309" spans="1:20" x14ac:dyDescent="0.25">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t="s">
        <v>83</v>
      </c>
      <c r="T1309" t="s">
        <v>96</v>
      </c>
    </row>
    <row r="1310" spans="1:20" x14ac:dyDescent="0.25">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t="s">
        <v>33</v>
      </c>
      <c r="T1310" t="s">
        <v>161</v>
      </c>
    </row>
    <row r="1311" spans="1:20" x14ac:dyDescent="0.25">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t="s">
        <v>58</v>
      </c>
      <c r="T1311" t="s">
        <v>34</v>
      </c>
    </row>
    <row r="1312" spans="1:20" x14ac:dyDescent="0.25">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t="s">
        <v>129</v>
      </c>
      <c r="T1312" t="s">
        <v>161</v>
      </c>
    </row>
    <row r="1313" spans="1:20" x14ac:dyDescent="0.25">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t="s">
        <v>129</v>
      </c>
      <c r="T1313" t="s">
        <v>77</v>
      </c>
    </row>
    <row r="1314" spans="1:20" x14ac:dyDescent="0.25">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t="s">
        <v>83</v>
      </c>
      <c r="T1314" t="s">
        <v>96</v>
      </c>
    </row>
    <row r="1315" spans="1:20" x14ac:dyDescent="0.25">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t="s">
        <v>58</v>
      </c>
      <c r="T1315" t="s">
        <v>71</v>
      </c>
    </row>
    <row r="1316" spans="1:20" x14ac:dyDescent="0.25">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t="s">
        <v>58</v>
      </c>
      <c r="T1316" t="s">
        <v>71</v>
      </c>
    </row>
    <row r="1317" spans="1:20" x14ac:dyDescent="0.25">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t="s">
        <v>129</v>
      </c>
      <c r="T1317" t="s">
        <v>34</v>
      </c>
    </row>
    <row r="1318" spans="1:20" x14ac:dyDescent="0.25">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t="s">
        <v>83</v>
      </c>
      <c r="T1318" t="s">
        <v>77</v>
      </c>
    </row>
    <row r="1319" spans="1:20" x14ac:dyDescent="0.25">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t="s">
        <v>58</v>
      </c>
      <c r="T1319" t="s">
        <v>48</v>
      </c>
    </row>
    <row r="1320" spans="1:20" x14ac:dyDescent="0.25">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t="s">
        <v>83</v>
      </c>
      <c r="T1320" t="s">
        <v>71</v>
      </c>
    </row>
    <row r="1321" spans="1:20" x14ac:dyDescent="0.25">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t="s">
        <v>58</v>
      </c>
      <c r="T1321" t="s">
        <v>195</v>
      </c>
    </row>
    <row r="1322" spans="1:20" x14ac:dyDescent="0.25">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t="s">
        <v>58</v>
      </c>
      <c r="T1322" t="s">
        <v>195</v>
      </c>
    </row>
    <row r="1323" spans="1:20" x14ac:dyDescent="0.25">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t="s">
        <v>33</v>
      </c>
      <c r="T1323" t="s">
        <v>96</v>
      </c>
    </row>
    <row r="1324" spans="1:20" x14ac:dyDescent="0.25">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t="s">
        <v>33</v>
      </c>
      <c r="T1324" t="s">
        <v>34</v>
      </c>
    </row>
    <row r="1325" spans="1:20" x14ac:dyDescent="0.25">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t="s">
        <v>70</v>
      </c>
      <c r="T1325" t="s">
        <v>34</v>
      </c>
    </row>
    <row r="1326" spans="1:20" x14ac:dyDescent="0.25">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t="s">
        <v>70</v>
      </c>
      <c r="T1326" t="s">
        <v>34</v>
      </c>
    </row>
    <row r="1327" spans="1:20" x14ac:dyDescent="0.25">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t="s">
        <v>58</v>
      </c>
      <c r="T1327" t="s">
        <v>77</v>
      </c>
    </row>
    <row r="1328" spans="1:20" x14ac:dyDescent="0.25">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t="s">
        <v>129</v>
      </c>
      <c r="T1328" t="s">
        <v>169</v>
      </c>
    </row>
    <row r="1329" spans="1:20" x14ac:dyDescent="0.25">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t="s">
        <v>129</v>
      </c>
      <c r="T1329" t="s">
        <v>169</v>
      </c>
    </row>
    <row r="1330" spans="1:20" x14ac:dyDescent="0.25">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t="s">
        <v>47</v>
      </c>
      <c r="T1330" t="s">
        <v>253</v>
      </c>
    </row>
    <row r="1331" spans="1:20" x14ac:dyDescent="0.25">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t="s">
        <v>83</v>
      </c>
      <c r="T1331" t="s">
        <v>48</v>
      </c>
    </row>
    <row r="1332" spans="1:20" x14ac:dyDescent="0.25">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t="s">
        <v>58</v>
      </c>
      <c r="T1332" t="s">
        <v>77</v>
      </c>
    </row>
    <row r="1333" spans="1:20" x14ac:dyDescent="0.25">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t="s">
        <v>83</v>
      </c>
      <c r="T1333" t="s">
        <v>48</v>
      </c>
    </row>
    <row r="1334" spans="1:20" x14ac:dyDescent="0.25">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t="s">
        <v>430</v>
      </c>
      <c r="T1334" t="s">
        <v>34</v>
      </c>
    </row>
    <row r="1335" spans="1:20" x14ac:dyDescent="0.25">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t="s">
        <v>70</v>
      </c>
      <c r="T1335" t="s">
        <v>48</v>
      </c>
    </row>
    <row r="1336" spans="1:20" x14ac:dyDescent="0.25">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t="s">
        <v>83</v>
      </c>
      <c r="T1336" t="s">
        <v>113</v>
      </c>
    </row>
    <row r="1337" spans="1:20" x14ac:dyDescent="0.25">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t="s">
        <v>47</v>
      </c>
      <c r="T1337" t="s">
        <v>96</v>
      </c>
    </row>
    <row r="1338" spans="1:20" x14ac:dyDescent="0.25">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t="s">
        <v>83</v>
      </c>
      <c r="T1338" t="s">
        <v>195</v>
      </c>
    </row>
    <row r="1339" spans="1:20" x14ac:dyDescent="0.25">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t="s">
        <v>58</v>
      </c>
      <c r="T1339" t="s">
        <v>96</v>
      </c>
    </row>
    <row r="1340" spans="1:20" x14ac:dyDescent="0.25">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t="s">
        <v>123</v>
      </c>
      <c r="T1340" t="s">
        <v>161</v>
      </c>
    </row>
    <row r="1341" spans="1:20" x14ac:dyDescent="0.25">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t="s">
        <v>123</v>
      </c>
      <c r="T1341" t="s">
        <v>161</v>
      </c>
    </row>
    <row r="1342" spans="1:20" x14ac:dyDescent="0.25">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t="s">
        <v>70</v>
      </c>
      <c r="T1342" t="s">
        <v>253</v>
      </c>
    </row>
    <row r="1343" spans="1:20" x14ac:dyDescent="0.25">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t="s">
        <v>123</v>
      </c>
      <c r="T1343" t="s">
        <v>161</v>
      </c>
    </row>
    <row r="1344" spans="1:20" x14ac:dyDescent="0.25">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t="s">
        <v>58</v>
      </c>
      <c r="T1344" t="s">
        <v>48</v>
      </c>
    </row>
    <row r="1345" spans="1:20" x14ac:dyDescent="0.25">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t="s">
        <v>33</v>
      </c>
      <c r="T1345" t="s">
        <v>48</v>
      </c>
    </row>
    <row r="1346" spans="1:20" x14ac:dyDescent="0.25">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t="s">
        <v>83</v>
      </c>
      <c r="T1346" t="s">
        <v>34</v>
      </c>
    </row>
    <row r="1347" spans="1:20" x14ac:dyDescent="0.25">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t="s">
        <v>83</v>
      </c>
      <c r="T1347" t="s">
        <v>34</v>
      </c>
    </row>
    <row r="1348" spans="1:20" x14ac:dyDescent="0.25">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t="s">
        <v>70</v>
      </c>
      <c r="T1348" t="s">
        <v>161</v>
      </c>
    </row>
    <row r="1349" spans="1:20" x14ac:dyDescent="0.25">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t="s">
        <v>58</v>
      </c>
      <c r="T1349" t="s">
        <v>96</v>
      </c>
    </row>
    <row r="1350" spans="1:20" x14ac:dyDescent="0.25">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t="s">
        <v>70</v>
      </c>
      <c r="T1350" t="s">
        <v>48</v>
      </c>
    </row>
    <row r="1351" spans="1:20" x14ac:dyDescent="0.25">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t="s">
        <v>47</v>
      </c>
      <c r="T1351" t="s">
        <v>48</v>
      </c>
    </row>
    <row r="1352" spans="1:20" x14ac:dyDescent="0.25">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t="s">
        <v>70</v>
      </c>
      <c r="T1352" t="s">
        <v>195</v>
      </c>
    </row>
    <row r="1353" spans="1:20" x14ac:dyDescent="0.25">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t="s">
        <v>33</v>
      </c>
      <c r="T1353" t="s">
        <v>71</v>
      </c>
    </row>
    <row r="1354" spans="1:20" x14ac:dyDescent="0.25">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t="s">
        <v>33</v>
      </c>
      <c r="T1354" t="s">
        <v>161</v>
      </c>
    </row>
    <row r="1355" spans="1:20" x14ac:dyDescent="0.25">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t="s">
        <v>129</v>
      </c>
      <c r="T1355" t="s">
        <v>77</v>
      </c>
    </row>
    <row r="1356" spans="1:20" x14ac:dyDescent="0.25">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t="s">
        <v>129</v>
      </c>
      <c r="T1356" t="s">
        <v>96</v>
      </c>
    </row>
    <row r="1357" spans="1:20" x14ac:dyDescent="0.25">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t="s">
        <v>123</v>
      </c>
      <c r="T1357" t="s">
        <v>169</v>
      </c>
    </row>
    <row r="1358" spans="1:20" x14ac:dyDescent="0.25">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t="s">
        <v>47</v>
      </c>
      <c r="T1358" t="s">
        <v>59</v>
      </c>
    </row>
    <row r="1359" spans="1:20" x14ac:dyDescent="0.25">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t="s">
        <v>129</v>
      </c>
      <c r="T1359" t="s">
        <v>59</v>
      </c>
    </row>
    <row r="1360" spans="1:20" x14ac:dyDescent="0.25">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t="s">
        <v>83</v>
      </c>
      <c r="T1360" t="s">
        <v>77</v>
      </c>
    </row>
    <row r="1361" spans="1:20" x14ac:dyDescent="0.25">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t="s">
        <v>58</v>
      </c>
      <c r="T1361" t="s">
        <v>34</v>
      </c>
    </row>
    <row r="1362" spans="1:20" x14ac:dyDescent="0.25">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t="s">
        <v>83</v>
      </c>
      <c r="T1362" t="s">
        <v>71</v>
      </c>
    </row>
    <row r="1363" spans="1:20" x14ac:dyDescent="0.25">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t="s">
        <v>70</v>
      </c>
      <c r="T1363" t="s">
        <v>48</v>
      </c>
    </row>
    <row r="1364" spans="1:20" x14ac:dyDescent="0.25">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t="s">
        <v>83</v>
      </c>
      <c r="T1364" t="s">
        <v>77</v>
      </c>
    </row>
    <row r="1365" spans="1:20" x14ac:dyDescent="0.25">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t="s">
        <v>83</v>
      </c>
      <c r="T1365" t="s">
        <v>77</v>
      </c>
    </row>
    <row r="1366" spans="1:20" x14ac:dyDescent="0.25">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t="s">
        <v>70</v>
      </c>
      <c r="T1366" t="s">
        <v>169</v>
      </c>
    </row>
    <row r="1367" spans="1:20" x14ac:dyDescent="0.25">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t="s">
        <v>58</v>
      </c>
      <c r="T1367" t="s">
        <v>34</v>
      </c>
    </row>
    <row r="1368" spans="1:20" x14ac:dyDescent="0.25">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t="s">
        <v>33</v>
      </c>
      <c r="T1368" t="s">
        <v>48</v>
      </c>
    </row>
    <row r="1369" spans="1:20" x14ac:dyDescent="0.25">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t="s">
        <v>58</v>
      </c>
      <c r="T1369" t="s">
        <v>48</v>
      </c>
    </row>
    <row r="1370" spans="1:20" x14ac:dyDescent="0.25">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t="s">
        <v>33</v>
      </c>
      <c r="T1370" t="s">
        <v>34</v>
      </c>
    </row>
    <row r="1371" spans="1:20" x14ac:dyDescent="0.25">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t="s">
        <v>83</v>
      </c>
      <c r="T1371" t="s">
        <v>195</v>
      </c>
    </row>
    <row r="1372" spans="1:20" x14ac:dyDescent="0.25">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t="s">
        <v>70</v>
      </c>
      <c r="T1372" t="s">
        <v>71</v>
      </c>
    </row>
    <row r="1373" spans="1:20" x14ac:dyDescent="0.25">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t="s">
        <v>70</v>
      </c>
      <c r="T1373" t="s">
        <v>34</v>
      </c>
    </row>
    <row r="1374" spans="1:20" x14ac:dyDescent="0.25">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t="s">
        <v>58</v>
      </c>
      <c r="T1374" t="s">
        <v>59</v>
      </c>
    </row>
    <row r="1375" spans="1:20" x14ac:dyDescent="0.25">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t="s">
        <v>58</v>
      </c>
      <c r="T1375" t="s">
        <v>161</v>
      </c>
    </row>
    <row r="1376" spans="1:20" x14ac:dyDescent="0.25">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t="s">
        <v>58</v>
      </c>
      <c r="T1376" t="s">
        <v>161</v>
      </c>
    </row>
    <row r="1377" spans="1:20" x14ac:dyDescent="0.25">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t="s">
        <v>83</v>
      </c>
      <c r="T1377" t="s">
        <v>113</v>
      </c>
    </row>
    <row r="1378" spans="1:20" x14ac:dyDescent="0.25">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t="s">
        <v>58</v>
      </c>
      <c r="T1378" t="s">
        <v>195</v>
      </c>
    </row>
    <row r="1379" spans="1:20" x14ac:dyDescent="0.25">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t="s">
        <v>430</v>
      </c>
      <c r="T1379" t="s">
        <v>48</v>
      </c>
    </row>
    <row r="1380" spans="1:20" x14ac:dyDescent="0.25">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t="s">
        <v>129</v>
      </c>
      <c r="T1380" t="s">
        <v>71</v>
      </c>
    </row>
    <row r="1381" spans="1:20" x14ac:dyDescent="0.25">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t="s">
        <v>129</v>
      </c>
      <c r="T1381" t="s">
        <v>71</v>
      </c>
    </row>
    <row r="1382" spans="1:20" x14ac:dyDescent="0.25">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t="s">
        <v>58</v>
      </c>
      <c r="T1382" t="s">
        <v>96</v>
      </c>
    </row>
    <row r="1383" spans="1:20" x14ac:dyDescent="0.25">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t="s">
        <v>58</v>
      </c>
      <c r="T1383" t="s">
        <v>96</v>
      </c>
    </row>
    <row r="1384" spans="1:20" x14ac:dyDescent="0.25">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t="s">
        <v>58</v>
      </c>
      <c r="T1384" t="s">
        <v>161</v>
      </c>
    </row>
    <row r="1385" spans="1:20" x14ac:dyDescent="0.25">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t="s">
        <v>47</v>
      </c>
      <c r="T1385" t="s">
        <v>113</v>
      </c>
    </row>
    <row r="1386" spans="1:20" x14ac:dyDescent="0.25">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t="s">
        <v>47</v>
      </c>
      <c r="T1386" t="s">
        <v>113</v>
      </c>
    </row>
    <row r="1387" spans="1:20" x14ac:dyDescent="0.25">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t="s">
        <v>70</v>
      </c>
      <c r="T1387" t="s">
        <v>59</v>
      </c>
    </row>
    <row r="1388" spans="1:20" x14ac:dyDescent="0.25">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t="s">
        <v>58</v>
      </c>
      <c r="T1388" t="s">
        <v>169</v>
      </c>
    </row>
    <row r="1389" spans="1:20" x14ac:dyDescent="0.25">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t="s">
        <v>33</v>
      </c>
      <c r="T1389" t="s">
        <v>77</v>
      </c>
    </row>
    <row r="1390" spans="1:20" x14ac:dyDescent="0.25">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t="s">
        <v>83</v>
      </c>
      <c r="T1390" t="s">
        <v>169</v>
      </c>
    </row>
    <row r="1391" spans="1:20" x14ac:dyDescent="0.25">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t="s">
        <v>83</v>
      </c>
      <c r="T1391" t="s">
        <v>169</v>
      </c>
    </row>
    <row r="1392" spans="1:20" x14ac:dyDescent="0.25">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t="s">
        <v>58</v>
      </c>
      <c r="T1392" t="s">
        <v>96</v>
      </c>
    </row>
    <row r="1393" spans="1:20" x14ac:dyDescent="0.25">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t="s">
        <v>58</v>
      </c>
      <c r="T1393" t="s">
        <v>96</v>
      </c>
    </row>
    <row r="1394" spans="1:20" x14ac:dyDescent="0.25">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t="s">
        <v>70</v>
      </c>
      <c r="T1394" t="s">
        <v>48</v>
      </c>
    </row>
    <row r="1395" spans="1:20" x14ac:dyDescent="0.25">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t="s">
        <v>129</v>
      </c>
      <c r="T1395" t="s">
        <v>96</v>
      </c>
    </row>
    <row r="1396" spans="1:20" x14ac:dyDescent="0.25">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t="s">
        <v>33</v>
      </c>
      <c r="T1396" t="s">
        <v>77</v>
      </c>
    </row>
    <row r="1397" spans="1:20" x14ac:dyDescent="0.25">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t="s">
        <v>33</v>
      </c>
      <c r="T1397" t="s">
        <v>77</v>
      </c>
    </row>
    <row r="1398" spans="1:20" x14ac:dyDescent="0.25">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t="s">
        <v>47</v>
      </c>
      <c r="T1398" t="s">
        <v>297</v>
      </c>
    </row>
    <row r="1399" spans="1:20" x14ac:dyDescent="0.25">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t="s">
        <v>47</v>
      </c>
      <c r="T1399" t="s">
        <v>297</v>
      </c>
    </row>
    <row r="1400" spans="1:20" x14ac:dyDescent="0.25">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t="s">
        <v>129</v>
      </c>
      <c r="T1400" t="s">
        <v>48</v>
      </c>
    </row>
    <row r="1401" spans="1:20" x14ac:dyDescent="0.25">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t="s">
        <v>70</v>
      </c>
      <c r="T1401" t="s">
        <v>161</v>
      </c>
    </row>
    <row r="1402" spans="1:20" x14ac:dyDescent="0.25">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t="s">
        <v>47</v>
      </c>
      <c r="T1402" t="s">
        <v>77</v>
      </c>
    </row>
    <row r="1403" spans="1:20" x14ac:dyDescent="0.25">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t="s">
        <v>83</v>
      </c>
      <c r="T1403" t="s">
        <v>48</v>
      </c>
    </row>
    <row r="1404" spans="1:20" x14ac:dyDescent="0.25">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t="s">
        <v>58</v>
      </c>
      <c r="T1404" t="s">
        <v>34</v>
      </c>
    </row>
    <row r="1405" spans="1:20" x14ac:dyDescent="0.25">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t="s">
        <v>58</v>
      </c>
      <c r="T1405" t="s">
        <v>96</v>
      </c>
    </row>
    <row r="1406" spans="1:20" x14ac:dyDescent="0.25">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t="s">
        <v>83</v>
      </c>
      <c r="T1406" t="s">
        <v>71</v>
      </c>
    </row>
    <row r="1407" spans="1:20" x14ac:dyDescent="0.25">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t="s">
        <v>83</v>
      </c>
      <c r="T1407" t="s">
        <v>161</v>
      </c>
    </row>
    <row r="1408" spans="1:20" x14ac:dyDescent="0.25">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t="s">
        <v>58</v>
      </c>
      <c r="T1408" t="s">
        <v>34</v>
      </c>
    </row>
    <row r="1409" spans="1:20" x14ac:dyDescent="0.25">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t="s">
        <v>58</v>
      </c>
      <c r="T1409" t="s">
        <v>34</v>
      </c>
    </row>
    <row r="1410" spans="1:20" x14ac:dyDescent="0.25">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t="s">
        <v>430</v>
      </c>
      <c r="T1410" t="s">
        <v>96</v>
      </c>
    </row>
    <row r="1411" spans="1:20" x14ac:dyDescent="0.25">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t="s">
        <v>430</v>
      </c>
      <c r="T1411" t="s">
        <v>96</v>
      </c>
    </row>
    <row r="1412" spans="1:20" x14ac:dyDescent="0.25">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t="s">
        <v>47</v>
      </c>
      <c r="T1412" t="s">
        <v>113</v>
      </c>
    </row>
    <row r="1413" spans="1:20" x14ac:dyDescent="0.25">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t="s">
        <v>58</v>
      </c>
      <c r="T1413" t="s">
        <v>34</v>
      </c>
    </row>
    <row r="1414" spans="1:20" x14ac:dyDescent="0.25">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t="s">
        <v>70</v>
      </c>
      <c r="T1414" t="s">
        <v>59</v>
      </c>
    </row>
    <row r="1415" spans="1:20" x14ac:dyDescent="0.25">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t="s">
        <v>58</v>
      </c>
      <c r="T1415" t="s">
        <v>161</v>
      </c>
    </row>
    <row r="1416" spans="1:20" x14ac:dyDescent="0.25">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t="s">
        <v>58</v>
      </c>
      <c r="T1416" t="s">
        <v>71</v>
      </c>
    </row>
    <row r="1417" spans="1:20" x14ac:dyDescent="0.25">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t="s">
        <v>70</v>
      </c>
      <c r="T1417" t="s">
        <v>59</v>
      </c>
    </row>
    <row r="1418" spans="1:20" x14ac:dyDescent="0.25">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t="s">
        <v>83</v>
      </c>
      <c r="T1418" t="s">
        <v>77</v>
      </c>
    </row>
    <row r="1419" spans="1:20" x14ac:dyDescent="0.25">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t="s">
        <v>83</v>
      </c>
      <c r="T1419" t="s">
        <v>77</v>
      </c>
    </row>
    <row r="1420" spans="1:20" x14ac:dyDescent="0.25">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t="s">
        <v>70</v>
      </c>
      <c r="T1420" t="s">
        <v>71</v>
      </c>
    </row>
    <row r="1421" spans="1:20" x14ac:dyDescent="0.25">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t="s">
        <v>83</v>
      </c>
      <c r="T1421" t="s">
        <v>113</v>
      </c>
    </row>
    <row r="1422" spans="1:20" x14ac:dyDescent="0.25">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t="s">
        <v>83</v>
      </c>
      <c r="T1422" t="s">
        <v>113</v>
      </c>
    </row>
    <row r="1423" spans="1:20" x14ac:dyDescent="0.25">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t="s">
        <v>58</v>
      </c>
      <c r="T1423" t="s">
        <v>77</v>
      </c>
    </row>
    <row r="1424" spans="1:20" x14ac:dyDescent="0.25">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t="s">
        <v>58</v>
      </c>
      <c r="T1424" t="s">
        <v>77</v>
      </c>
    </row>
    <row r="1425" spans="1:20" x14ac:dyDescent="0.25">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t="s">
        <v>33</v>
      </c>
      <c r="T1425" t="s">
        <v>71</v>
      </c>
    </row>
    <row r="1426" spans="1:20" x14ac:dyDescent="0.25">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t="s">
        <v>33</v>
      </c>
      <c r="T1426" t="s">
        <v>71</v>
      </c>
    </row>
    <row r="1427" spans="1:20" x14ac:dyDescent="0.25">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t="s">
        <v>47</v>
      </c>
      <c r="T1427" t="s">
        <v>77</v>
      </c>
    </row>
    <row r="1428" spans="1:20" x14ac:dyDescent="0.25">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t="s">
        <v>58</v>
      </c>
      <c r="T1428" t="s">
        <v>34</v>
      </c>
    </row>
    <row r="1429" spans="1:20" x14ac:dyDescent="0.25">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t="s">
        <v>83</v>
      </c>
      <c r="T1429" t="s">
        <v>34</v>
      </c>
    </row>
    <row r="1430" spans="1:20" x14ac:dyDescent="0.25">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t="s">
        <v>430</v>
      </c>
      <c r="T1430" t="s">
        <v>253</v>
      </c>
    </row>
    <row r="1431" spans="1:20" x14ac:dyDescent="0.25">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t="s">
        <v>430</v>
      </c>
      <c r="T1431" t="s">
        <v>253</v>
      </c>
    </row>
    <row r="1432" spans="1:20" x14ac:dyDescent="0.25">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t="s">
        <v>47</v>
      </c>
      <c r="T1432" t="s">
        <v>96</v>
      </c>
    </row>
    <row r="1433" spans="1:20" x14ac:dyDescent="0.25">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t="s">
        <v>47</v>
      </c>
      <c r="T1433" t="s">
        <v>96</v>
      </c>
    </row>
    <row r="1434" spans="1:20" x14ac:dyDescent="0.25">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t="s">
        <v>58</v>
      </c>
      <c r="T1434" t="s">
        <v>195</v>
      </c>
    </row>
    <row r="1435" spans="1:20" x14ac:dyDescent="0.25">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t="s">
        <v>123</v>
      </c>
      <c r="T1435" t="s">
        <v>77</v>
      </c>
    </row>
    <row r="1436" spans="1:20" x14ac:dyDescent="0.25">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t="s">
        <v>123</v>
      </c>
      <c r="T1436" t="s">
        <v>77</v>
      </c>
    </row>
    <row r="1437" spans="1:20" x14ac:dyDescent="0.25">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t="s">
        <v>83</v>
      </c>
      <c r="T1437" t="s">
        <v>59</v>
      </c>
    </row>
    <row r="1438" spans="1:20" x14ac:dyDescent="0.25">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t="s">
        <v>83</v>
      </c>
      <c r="T1438" t="s">
        <v>96</v>
      </c>
    </row>
    <row r="1439" spans="1:20" x14ac:dyDescent="0.25">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t="s">
        <v>83</v>
      </c>
      <c r="T1439" t="s">
        <v>96</v>
      </c>
    </row>
    <row r="1440" spans="1:20" x14ac:dyDescent="0.25">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t="s">
        <v>83</v>
      </c>
      <c r="T1440" t="s">
        <v>96</v>
      </c>
    </row>
    <row r="1441" spans="1:20" x14ac:dyDescent="0.25">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t="s">
        <v>83</v>
      </c>
      <c r="T1441" t="s">
        <v>71</v>
      </c>
    </row>
    <row r="1442" spans="1:20" x14ac:dyDescent="0.25">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t="s">
        <v>430</v>
      </c>
      <c r="T1442" t="s">
        <v>77</v>
      </c>
    </row>
    <row r="1443" spans="1:20" x14ac:dyDescent="0.25">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t="s">
        <v>58</v>
      </c>
      <c r="T1443" t="s">
        <v>48</v>
      </c>
    </row>
    <row r="1444" spans="1:20" x14ac:dyDescent="0.25">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t="s">
        <v>58</v>
      </c>
      <c r="T1444" t="s">
        <v>77</v>
      </c>
    </row>
    <row r="1445" spans="1:20" x14ac:dyDescent="0.25">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t="s">
        <v>129</v>
      </c>
      <c r="T1445" t="s">
        <v>71</v>
      </c>
    </row>
    <row r="1446" spans="1:20" x14ac:dyDescent="0.25">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t="s">
        <v>58</v>
      </c>
      <c r="T1446" t="s">
        <v>113</v>
      </c>
    </row>
    <row r="1447" spans="1:20" x14ac:dyDescent="0.25">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t="s">
        <v>83</v>
      </c>
      <c r="T1447" t="s">
        <v>169</v>
      </c>
    </row>
    <row r="1448" spans="1:20" x14ac:dyDescent="0.25">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t="s">
        <v>58</v>
      </c>
      <c r="T1448" t="s">
        <v>113</v>
      </c>
    </row>
    <row r="1449" spans="1:20" x14ac:dyDescent="0.25">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t="s">
        <v>47</v>
      </c>
      <c r="T1449" t="s">
        <v>253</v>
      </c>
    </row>
    <row r="1450" spans="1:20" x14ac:dyDescent="0.25">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t="s">
        <v>58</v>
      </c>
      <c r="T1450" t="s">
        <v>77</v>
      </c>
    </row>
    <row r="1451" spans="1:20" x14ac:dyDescent="0.25">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t="s">
        <v>430</v>
      </c>
      <c r="T1451" t="s">
        <v>48</v>
      </c>
    </row>
    <row r="1452" spans="1:20" x14ac:dyDescent="0.25">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t="s">
        <v>83</v>
      </c>
      <c r="T1452" t="s">
        <v>96</v>
      </c>
    </row>
    <row r="1453" spans="1:20" x14ac:dyDescent="0.25">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t="s">
        <v>83</v>
      </c>
      <c r="T1453" t="s">
        <v>96</v>
      </c>
    </row>
    <row r="1454" spans="1:20" x14ac:dyDescent="0.25">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t="s">
        <v>83</v>
      </c>
      <c r="T1454" t="s">
        <v>161</v>
      </c>
    </row>
    <row r="1455" spans="1:20" x14ac:dyDescent="0.25">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t="s">
        <v>83</v>
      </c>
      <c r="T1455" t="s">
        <v>77</v>
      </c>
    </row>
    <row r="1456" spans="1:20" x14ac:dyDescent="0.25">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t="s">
        <v>70</v>
      </c>
      <c r="T1456" t="s">
        <v>161</v>
      </c>
    </row>
    <row r="1457" spans="1:20" x14ac:dyDescent="0.25">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t="s">
        <v>58</v>
      </c>
      <c r="T1457" t="s">
        <v>96</v>
      </c>
    </row>
    <row r="1458" spans="1:20" x14ac:dyDescent="0.25">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t="s">
        <v>83</v>
      </c>
      <c r="T1458" t="s">
        <v>71</v>
      </c>
    </row>
    <row r="1459" spans="1:20" x14ac:dyDescent="0.25">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t="s">
        <v>58</v>
      </c>
      <c r="T1459" t="s">
        <v>96</v>
      </c>
    </row>
    <row r="1460" spans="1:20" x14ac:dyDescent="0.25">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t="s">
        <v>83</v>
      </c>
      <c r="T1460" t="s">
        <v>34</v>
      </c>
    </row>
    <row r="1461" spans="1:20" x14ac:dyDescent="0.25">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t="s">
        <v>83</v>
      </c>
      <c r="T1461" t="s">
        <v>71</v>
      </c>
    </row>
    <row r="1462" spans="1:20" x14ac:dyDescent="0.25">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t="s">
        <v>70</v>
      </c>
      <c r="T1462" t="s">
        <v>77</v>
      </c>
    </row>
    <row r="1463" spans="1:20" x14ac:dyDescent="0.25">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t="s">
        <v>83</v>
      </c>
      <c r="T1463" t="s">
        <v>77</v>
      </c>
    </row>
    <row r="1464" spans="1:20" x14ac:dyDescent="0.25">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t="s">
        <v>83</v>
      </c>
      <c r="T1464" t="s">
        <v>113</v>
      </c>
    </row>
    <row r="1465" spans="1:20" x14ac:dyDescent="0.25">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t="s">
        <v>430</v>
      </c>
      <c r="T1465" t="s">
        <v>34</v>
      </c>
    </row>
    <row r="1466" spans="1:20" x14ac:dyDescent="0.25">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t="s">
        <v>58</v>
      </c>
      <c r="T1466" t="s">
        <v>71</v>
      </c>
    </row>
    <row r="1467" spans="1:20" x14ac:dyDescent="0.25">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t="s">
        <v>33</v>
      </c>
      <c r="T1467" t="s">
        <v>169</v>
      </c>
    </row>
    <row r="1468" spans="1:20" x14ac:dyDescent="0.25">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t="s">
        <v>83</v>
      </c>
      <c r="T1468" t="s">
        <v>59</v>
      </c>
    </row>
    <row r="1469" spans="1:20" x14ac:dyDescent="0.25">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t="s">
        <v>58</v>
      </c>
      <c r="T1469" t="s">
        <v>34</v>
      </c>
    </row>
    <row r="1470" spans="1:20" x14ac:dyDescent="0.25">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t="s">
        <v>83</v>
      </c>
      <c r="T1470" t="s">
        <v>195</v>
      </c>
    </row>
    <row r="1471" spans="1:20" x14ac:dyDescent="0.25">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t="s">
        <v>70</v>
      </c>
      <c r="T1471" t="s">
        <v>253</v>
      </c>
    </row>
    <row r="1472" spans="1:20" x14ac:dyDescent="0.25">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t="s">
        <v>83</v>
      </c>
      <c r="T1472" t="s">
        <v>34</v>
      </c>
    </row>
    <row r="1473" spans="1:20" x14ac:dyDescent="0.25">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t="s">
        <v>129</v>
      </c>
      <c r="T1473" t="s">
        <v>96</v>
      </c>
    </row>
    <row r="1474" spans="1:20" x14ac:dyDescent="0.25">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t="s">
        <v>83</v>
      </c>
      <c r="T1474" t="s">
        <v>253</v>
      </c>
    </row>
    <row r="1475" spans="1:20" x14ac:dyDescent="0.25">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t="s">
        <v>83</v>
      </c>
      <c r="T1475" t="s">
        <v>253</v>
      </c>
    </row>
    <row r="1476" spans="1:20" x14ac:dyDescent="0.25">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t="s">
        <v>70</v>
      </c>
      <c r="T1476" t="s">
        <v>96</v>
      </c>
    </row>
    <row r="1477" spans="1:20" x14ac:dyDescent="0.25">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t="s">
        <v>83</v>
      </c>
      <c r="T1477" t="s">
        <v>253</v>
      </c>
    </row>
    <row r="1478" spans="1:20" x14ac:dyDescent="0.25">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t="s">
        <v>58</v>
      </c>
      <c r="T1478" t="s">
        <v>34</v>
      </c>
    </row>
    <row r="1479" spans="1:20" x14ac:dyDescent="0.25">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t="s">
        <v>83</v>
      </c>
      <c r="T1479" t="s">
        <v>34</v>
      </c>
    </row>
    <row r="1480" spans="1:20" x14ac:dyDescent="0.25">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t="s">
        <v>129</v>
      </c>
      <c r="T1480" t="s">
        <v>96</v>
      </c>
    </row>
    <row r="1481" spans="1:20" x14ac:dyDescent="0.25">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t="s">
        <v>58</v>
      </c>
      <c r="T1481" t="s">
        <v>71</v>
      </c>
    </row>
    <row r="1482" spans="1:20" x14ac:dyDescent="0.25">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t="s">
        <v>83</v>
      </c>
      <c r="T1482" t="s">
        <v>113</v>
      </c>
    </row>
    <row r="1483" spans="1:20" x14ac:dyDescent="0.25">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t="s">
        <v>430</v>
      </c>
      <c r="T1483" t="s">
        <v>96</v>
      </c>
    </row>
    <row r="1484" spans="1:20" x14ac:dyDescent="0.25">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t="s">
        <v>430</v>
      </c>
      <c r="T1484" t="s">
        <v>96</v>
      </c>
    </row>
    <row r="1485" spans="1:20" x14ac:dyDescent="0.25">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t="s">
        <v>83</v>
      </c>
      <c r="T1485" t="s">
        <v>77</v>
      </c>
    </row>
    <row r="1486" spans="1:20" x14ac:dyDescent="0.25">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t="s">
        <v>70</v>
      </c>
      <c r="T1486" t="s">
        <v>59</v>
      </c>
    </row>
    <row r="1487" spans="1:20" x14ac:dyDescent="0.25">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t="s">
        <v>70</v>
      </c>
      <c r="T1487" t="s">
        <v>59</v>
      </c>
    </row>
    <row r="1488" spans="1:20" x14ac:dyDescent="0.25">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t="s">
        <v>123</v>
      </c>
      <c r="T1488" t="s">
        <v>161</v>
      </c>
    </row>
    <row r="1489" spans="1:20" x14ac:dyDescent="0.25">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t="s">
        <v>47</v>
      </c>
      <c r="T1489" t="s">
        <v>96</v>
      </c>
    </row>
    <row r="1490" spans="1:20" x14ac:dyDescent="0.25">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t="s">
        <v>47</v>
      </c>
      <c r="T1490" t="s">
        <v>253</v>
      </c>
    </row>
    <row r="1491" spans="1:20" x14ac:dyDescent="0.25">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t="s">
        <v>129</v>
      </c>
      <c r="T1491" t="s">
        <v>34</v>
      </c>
    </row>
    <row r="1492" spans="1:20" x14ac:dyDescent="0.25">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t="s">
        <v>58</v>
      </c>
      <c r="T1492" t="s">
        <v>34</v>
      </c>
    </row>
    <row r="1493" spans="1:20" x14ac:dyDescent="0.25">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t="s">
        <v>58</v>
      </c>
      <c r="T1493" t="s">
        <v>34</v>
      </c>
    </row>
    <row r="1494" spans="1:20" x14ac:dyDescent="0.25">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t="s">
        <v>58</v>
      </c>
      <c r="T1494" t="s">
        <v>34</v>
      </c>
    </row>
    <row r="1495" spans="1:20" x14ac:dyDescent="0.25">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t="s">
        <v>47</v>
      </c>
      <c r="T1495" t="s">
        <v>34</v>
      </c>
    </row>
    <row r="1496" spans="1:20" x14ac:dyDescent="0.25">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t="s">
        <v>430</v>
      </c>
      <c r="T1496" t="s">
        <v>77</v>
      </c>
    </row>
    <row r="1497" spans="1:20" x14ac:dyDescent="0.25">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t="s">
        <v>58</v>
      </c>
      <c r="T1497" t="s">
        <v>34</v>
      </c>
    </row>
    <row r="1498" spans="1:20" x14ac:dyDescent="0.25">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t="s">
        <v>58</v>
      </c>
      <c r="T1498" t="s">
        <v>195</v>
      </c>
    </row>
    <row r="1499" spans="1:20" x14ac:dyDescent="0.25">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t="s">
        <v>83</v>
      </c>
      <c r="T1499" t="s">
        <v>96</v>
      </c>
    </row>
    <row r="1500" spans="1:20" x14ac:dyDescent="0.25">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t="s">
        <v>33</v>
      </c>
      <c r="T1500" t="s">
        <v>96</v>
      </c>
    </row>
    <row r="1501" spans="1:20" x14ac:dyDescent="0.25">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t="s">
        <v>70</v>
      </c>
      <c r="T1501" t="s">
        <v>96</v>
      </c>
    </row>
    <row r="1502" spans="1:20" x14ac:dyDescent="0.25">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t="s">
        <v>70</v>
      </c>
      <c r="T1502" t="s">
        <v>71</v>
      </c>
    </row>
    <row r="1503" spans="1:20" x14ac:dyDescent="0.25">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t="s">
        <v>70</v>
      </c>
      <c r="T1503" t="s">
        <v>71</v>
      </c>
    </row>
    <row r="1504" spans="1:20" x14ac:dyDescent="0.25">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t="s">
        <v>129</v>
      </c>
      <c r="T1504" t="s">
        <v>48</v>
      </c>
    </row>
    <row r="1505" spans="1:20" x14ac:dyDescent="0.25">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t="s">
        <v>70</v>
      </c>
      <c r="T1505" t="s">
        <v>113</v>
      </c>
    </row>
    <row r="1506" spans="1:20" x14ac:dyDescent="0.25">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t="s">
        <v>47</v>
      </c>
      <c r="T1506" t="s">
        <v>253</v>
      </c>
    </row>
    <row r="1507" spans="1:20" x14ac:dyDescent="0.25">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t="s">
        <v>47</v>
      </c>
      <c r="T1507" t="s">
        <v>253</v>
      </c>
    </row>
    <row r="1508" spans="1:20" x14ac:dyDescent="0.25">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t="s">
        <v>33</v>
      </c>
      <c r="T1508" t="s">
        <v>34</v>
      </c>
    </row>
    <row r="1509" spans="1:20" x14ac:dyDescent="0.25">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t="s">
        <v>83</v>
      </c>
      <c r="T1509" t="s">
        <v>34</v>
      </c>
    </row>
    <row r="1510" spans="1:20" x14ac:dyDescent="0.25">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t="s">
        <v>129</v>
      </c>
      <c r="T1510" t="s">
        <v>34</v>
      </c>
    </row>
    <row r="1511" spans="1:20" x14ac:dyDescent="0.25">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t="s">
        <v>430</v>
      </c>
      <c r="T1511" t="s">
        <v>48</v>
      </c>
    </row>
    <row r="1512" spans="1:20" x14ac:dyDescent="0.25">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t="s">
        <v>83</v>
      </c>
      <c r="T1512" t="s">
        <v>96</v>
      </c>
    </row>
    <row r="1513" spans="1:20" x14ac:dyDescent="0.25">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t="s">
        <v>83</v>
      </c>
      <c r="T1513" t="s">
        <v>48</v>
      </c>
    </row>
    <row r="1514" spans="1:20" x14ac:dyDescent="0.25">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t="s">
        <v>83</v>
      </c>
      <c r="T1514" t="s">
        <v>71</v>
      </c>
    </row>
    <row r="1515" spans="1:20" x14ac:dyDescent="0.25">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t="s">
        <v>83</v>
      </c>
      <c r="T1515" t="s">
        <v>195</v>
      </c>
    </row>
    <row r="1516" spans="1:20" x14ac:dyDescent="0.25">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t="s">
        <v>129</v>
      </c>
      <c r="T1516" t="s">
        <v>96</v>
      </c>
    </row>
    <row r="1517" spans="1:20" x14ac:dyDescent="0.25">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t="s">
        <v>70</v>
      </c>
      <c r="T1517" t="s">
        <v>113</v>
      </c>
    </row>
    <row r="1518" spans="1:20" x14ac:dyDescent="0.25">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t="s">
        <v>70</v>
      </c>
      <c r="T1518" t="s">
        <v>113</v>
      </c>
    </row>
    <row r="1519" spans="1:20" x14ac:dyDescent="0.25">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t="s">
        <v>58</v>
      </c>
      <c r="T1519" t="s">
        <v>253</v>
      </c>
    </row>
    <row r="1520" spans="1:20" x14ac:dyDescent="0.25">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t="s">
        <v>58</v>
      </c>
      <c r="T1520" t="s">
        <v>195</v>
      </c>
    </row>
    <row r="1521" spans="1:20" x14ac:dyDescent="0.25">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t="s">
        <v>58</v>
      </c>
      <c r="T1521" t="s">
        <v>161</v>
      </c>
    </row>
    <row r="1522" spans="1:20" x14ac:dyDescent="0.25">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t="s">
        <v>33</v>
      </c>
      <c r="T1522" t="s">
        <v>34</v>
      </c>
    </row>
    <row r="1523" spans="1:20" x14ac:dyDescent="0.25">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t="s">
        <v>129</v>
      </c>
      <c r="T1523" t="s">
        <v>169</v>
      </c>
    </row>
    <row r="1524" spans="1:20" x14ac:dyDescent="0.25">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t="s">
        <v>129</v>
      </c>
      <c r="T1524" t="s">
        <v>77</v>
      </c>
    </row>
    <row r="1525" spans="1:20" x14ac:dyDescent="0.25">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t="s">
        <v>83</v>
      </c>
      <c r="T1525" t="s">
        <v>34</v>
      </c>
    </row>
    <row r="1526" spans="1:20" x14ac:dyDescent="0.25">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t="s">
        <v>83</v>
      </c>
      <c r="T1526" t="s">
        <v>77</v>
      </c>
    </row>
    <row r="1527" spans="1:20" x14ac:dyDescent="0.25">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t="s">
        <v>58</v>
      </c>
      <c r="T1527" t="s">
        <v>59</v>
      </c>
    </row>
    <row r="1528" spans="1:20" x14ac:dyDescent="0.25">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t="s">
        <v>129</v>
      </c>
      <c r="T1528" t="s">
        <v>169</v>
      </c>
    </row>
    <row r="1529" spans="1:20" x14ac:dyDescent="0.25">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t="s">
        <v>58</v>
      </c>
      <c r="T1529" t="s">
        <v>161</v>
      </c>
    </row>
    <row r="1530" spans="1:20" x14ac:dyDescent="0.25">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t="s">
        <v>33</v>
      </c>
      <c r="T1530" t="s">
        <v>34</v>
      </c>
    </row>
    <row r="1531" spans="1:20" x14ac:dyDescent="0.25">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t="s">
        <v>33</v>
      </c>
      <c r="T1531" t="s">
        <v>34</v>
      </c>
    </row>
    <row r="1532" spans="1:20" x14ac:dyDescent="0.25">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t="s">
        <v>33</v>
      </c>
      <c r="T1532" t="s">
        <v>34</v>
      </c>
    </row>
    <row r="1533" spans="1:20" x14ac:dyDescent="0.25">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t="s">
        <v>83</v>
      </c>
      <c r="T1533" t="s">
        <v>77</v>
      </c>
    </row>
    <row r="1534" spans="1:20" x14ac:dyDescent="0.25">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t="s">
        <v>83</v>
      </c>
      <c r="T1534" t="s">
        <v>195</v>
      </c>
    </row>
    <row r="1535" spans="1:20" x14ac:dyDescent="0.25">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t="s">
        <v>70</v>
      </c>
      <c r="T1535" t="s">
        <v>34</v>
      </c>
    </row>
    <row r="1536" spans="1:20" x14ac:dyDescent="0.25">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t="s">
        <v>83</v>
      </c>
      <c r="T1536" t="s">
        <v>48</v>
      </c>
    </row>
    <row r="1537" spans="1:20" x14ac:dyDescent="0.25">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t="s">
        <v>33</v>
      </c>
      <c r="T1537" t="s">
        <v>34</v>
      </c>
    </row>
    <row r="1538" spans="1:20" x14ac:dyDescent="0.25">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t="s">
        <v>33</v>
      </c>
      <c r="T1538" t="s">
        <v>96</v>
      </c>
    </row>
    <row r="1539" spans="1:20" x14ac:dyDescent="0.25">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t="s">
        <v>129</v>
      </c>
      <c r="T1539" t="s">
        <v>195</v>
      </c>
    </row>
    <row r="1540" spans="1:20" x14ac:dyDescent="0.25">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t="s">
        <v>123</v>
      </c>
      <c r="T1540" t="s">
        <v>34</v>
      </c>
    </row>
    <row r="1541" spans="1:20" x14ac:dyDescent="0.25">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t="s">
        <v>129</v>
      </c>
      <c r="T1541" t="s">
        <v>113</v>
      </c>
    </row>
    <row r="1542" spans="1:20" x14ac:dyDescent="0.25">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t="s">
        <v>129</v>
      </c>
      <c r="T1542" t="s">
        <v>113</v>
      </c>
    </row>
    <row r="1543" spans="1:20" x14ac:dyDescent="0.25">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t="s">
        <v>58</v>
      </c>
      <c r="T1543" t="s">
        <v>96</v>
      </c>
    </row>
    <row r="1544" spans="1:20" x14ac:dyDescent="0.25">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t="s">
        <v>33</v>
      </c>
      <c r="T1544" t="s">
        <v>96</v>
      </c>
    </row>
    <row r="1545" spans="1:20" x14ac:dyDescent="0.25">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t="s">
        <v>129</v>
      </c>
      <c r="T1545" t="s">
        <v>71</v>
      </c>
    </row>
    <row r="1546" spans="1:20" x14ac:dyDescent="0.25">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t="s">
        <v>129</v>
      </c>
      <c r="T1546" t="s">
        <v>71</v>
      </c>
    </row>
    <row r="1547" spans="1:20" x14ac:dyDescent="0.25">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t="s">
        <v>129</v>
      </c>
      <c r="T1547" t="s">
        <v>96</v>
      </c>
    </row>
    <row r="1548" spans="1:20" x14ac:dyDescent="0.25">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t="s">
        <v>129</v>
      </c>
      <c r="T1548" t="s">
        <v>96</v>
      </c>
    </row>
    <row r="1549" spans="1:20" x14ac:dyDescent="0.25">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t="s">
        <v>58</v>
      </c>
      <c r="T1549" t="s">
        <v>48</v>
      </c>
    </row>
    <row r="1550" spans="1:20" x14ac:dyDescent="0.25">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t="s">
        <v>83</v>
      </c>
      <c r="T1550" t="s">
        <v>96</v>
      </c>
    </row>
    <row r="1551" spans="1:20" x14ac:dyDescent="0.25">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t="s">
        <v>70</v>
      </c>
      <c r="T1551" t="s">
        <v>113</v>
      </c>
    </row>
    <row r="1552" spans="1:20" x14ac:dyDescent="0.25">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t="s">
        <v>129</v>
      </c>
      <c r="T1552" t="s">
        <v>34</v>
      </c>
    </row>
    <row r="1553" spans="1:20" x14ac:dyDescent="0.25">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t="s">
        <v>58</v>
      </c>
      <c r="T1553" t="s">
        <v>77</v>
      </c>
    </row>
    <row r="1554" spans="1:20" x14ac:dyDescent="0.25">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t="s">
        <v>83</v>
      </c>
      <c r="T1554" t="s">
        <v>34</v>
      </c>
    </row>
    <row r="1555" spans="1:20" x14ac:dyDescent="0.25">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t="s">
        <v>83</v>
      </c>
      <c r="T1555" t="s">
        <v>34</v>
      </c>
    </row>
    <row r="1556" spans="1:20" x14ac:dyDescent="0.25">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t="s">
        <v>58</v>
      </c>
      <c r="T1556" t="s">
        <v>96</v>
      </c>
    </row>
    <row r="1557" spans="1:20" x14ac:dyDescent="0.25">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t="s">
        <v>58</v>
      </c>
      <c r="T1557" t="s">
        <v>96</v>
      </c>
    </row>
    <row r="1558" spans="1:20" x14ac:dyDescent="0.25">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t="s">
        <v>58</v>
      </c>
      <c r="T1558" t="s">
        <v>77</v>
      </c>
    </row>
    <row r="1559" spans="1:20" x14ac:dyDescent="0.25">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t="s">
        <v>58</v>
      </c>
      <c r="T1559" t="s">
        <v>161</v>
      </c>
    </row>
    <row r="1560" spans="1:20" x14ac:dyDescent="0.25">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t="s">
        <v>58</v>
      </c>
      <c r="T1560" t="s">
        <v>161</v>
      </c>
    </row>
    <row r="1561" spans="1:20" x14ac:dyDescent="0.25">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t="s">
        <v>58</v>
      </c>
      <c r="T1561" t="s">
        <v>161</v>
      </c>
    </row>
    <row r="1562" spans="1:20" x14ac:dyDescent="0.25">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t="s">
        <v>58</v>
      </c>
      <c r="T1562" t="s">
        <v>161</v>
      </c>
    </row>
    <row r="1563" spans="1:20" x14ac:dyDescent="0.25">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t="s">
        <v>47</v>
      </c>
      <c r="T1563" t="s">
        <v>161</v>
      </c>
    </row>
    <row r="1564" spans="1:20" x14ac:dyDescent="0.25">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t="s">
        <v>83</v>
      </c>
      <c r="T1564" t="s">
        <v>113</v>
      </c>
    </row>
    <row r="1565" spans="1:20" x14ac:dyDescent="0.25">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t="s">
        <v>83</v>
      </c>
      <c r="T1565" t="s">
        <v>161</v>
      </c>
    </row>
    <row r="1566" spans="1:20" x14ac:dyDescent="0.25">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t="s">
        <v>70</v>
      </c>
      <c r="T1566" t="s">
        <v>195</v>
      </c>
    </row>
    <row r="1567" spans="1:20" x14ac:dyDescent="0.25">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t="s">
        <v>83</v>
      </c>
      <c r="T1567" t="s">
        <v>113</v>
      </c>
    </row>
    <row r="1568" spans="1:20" x14ac:dyDescent="0.25">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t="s">
        <v>70</v>
      </c>
      <c r="T1568" t="s">
        <v>59</v>
      </c>
    </row>
    <row r="1569" spans="1:20" x14ac:dyDescent="0.25">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t="s">
        <v>70</v>
      </c>
      <c r="T1569" t="s">
        <v>59</v>
      </c>
    </row>
    <row r="1570" spans="1:20" x14ac:dyDescent="0.25">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t="s">
        <v>33</v>
      </c>
      <c r="T1570" t="s">
        <v>195</v>
      </c>
    </row>
    <row r="1571" spans="1:20" x14ac:dyDescent="0.25">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t="s">
        <v>83</v>
      </c>
      <c r="T1571" t="s">
        <v>77</v>
      </c>
    </row>
    <row r="1572" spans="1:20" x14ac:dyDescent="0.25">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t="s">
        <v>83</v>
      </c>
      <c r="T1572" t="s">
        <v>297</v>
      </c>
    </row>
    <row r="1573" spans="1:20" x14ac:dyDescent="0.25">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t="s">
        <v>33</v>
      </c>
      <c r="T1573" t="s">
        <v>34</v>
      </c>
    </row>
    <row r="1574" spans="1:20" x14ac:dyDescent="0.25">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t="s">
        <v>58</v>
      </c>
      <c r="T1574" t="s">
        <v>77</v>
      </c>
    </row>
    <row r="1575" spans="1:20" x14ac:dyDescent="0.25">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t="s">
        <v>70</v>
      </c>
      <c r="T1575" t="s">
        <v>113</v>
      </c>
    </row>
    <row r="1576" spans="1:20" x14ac:dyDescent="0.25">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t="s">
        <v>70</v>
      </c>
      <c r="T1576" t="s">
        <v>113</v>
      </c>
    </row>
    <row r="1577" spans="1:20" x14ac:dyDescent="0.25">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t="s">
        <v>83</v>
      </c>
      <c r="T1577" t="s">
        <v>34</v>
      </c>
    </row>
    <row r="1578" spans="1:20" x14ac:dyDescent="0.25">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t="s">
        <v>58</v>
      </c>
      <c r="T1578" t="s">
        <v>77</v>
      </c>
    </row>
    <row r="1579" spans="1:20" x14ac:dyDescent="0.25">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t="s">
        <v>83</v>
      </c>
      <c r="T1579" t="s">
        <v>169</v>
      </c>
    </row>
    <row r="1580" spans="1:20" x14ac:dyDescent="0.25">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t="s">
        <v>70</v>
      </c>
      <c r="T1580" t="s">
        <v>96</v>
      </c>
    </row>
    <row r="1581" spans="1:20" x14ac:dyDescent="0.25">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t="s">
        <v>58</v>
      </c>
      <c r="T1581" t="s">
        <v>96</v>
      </c>
    </row>
    <row r="1582" spans="1:20" x14ac:dyDescent="0.25">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t="s">
        <v>129</v>
      </c>
      <c r="T1582" t="s">
        <v>77</v>
      </c>
    </row>
    <row r="1583" spans="1:20" x14ac:dyDescent="0.25">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t="s">
        <v>58</v>
      </c>
      <c r="T1583" t="s">
        <v>77</v>
      </c>
    </row>
    <row r="1584" spans="1:20" x14ac:dyDescent="0.25">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t="s">
        <v>83</v>
      </c>
      <c r="T1584" t="s">
        <v>71</v>
      </c>
    </row>
    <row r="1585" spans="1:20" x14ac:dyDescent="0.25">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t="s">
        <v>83</v>
      </c>
      <c r="T1585" t="s">
        <v>71</v>
      </c>
    </row>
    <row r="1586" spans="1:20" x14ac:dyDescent="0.25">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t="s">
        <v>83</v>
      </c>
      <c r="T1586" t="s">
        <v>71</v>
      </c>
    </row>
    <row r="1587" spans="1:20" x14ac:dyDescent="0.25">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t="s">
        <v>129</v>
      </c>
      <c r="T1587" t="s">
        <v>77</v>
      </c>
    </row>
    <row r="1588" spans="1:20" x14ac:dyDescent="0.25">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t="s">
        <v>129</v>
      </c>
      <c r="T1588" t="s">
        <v>77</v>
      </c>
    </row>
    <row r="1589" spans="1:20" x14ac:dyDescent="0.25">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t="s">
        <v>430</v>
      </c>
      <c r="T1589" t="s">
        <v>77</v>
      </c>
    </row>
    <row r="1590" spans="1:20" x14ac:dyDescent="0.25">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t="s">
        <v>70</v>
      </c>
      <c r="T1590" t="s">
        <v>59</v>
      </c>
    </row>
    <row r="1591" spans="1:20" x14ac:dyDescent="0.25">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t="s">
        <v>70</v>
      </c>
      <c r="T1591" t="s">
        <v>59</v>
      </c>
    </row>
    <row r="1592" spans="1:20" x14ac:dyDescent="0.25">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t="s">
        <v>83</v>
      </c>
      <c r="T1592" t="s">
        <v>297</v>
      </c>
    </row>
    <row r="1593" spans="1:20" x14ac:dyDescent="0.25">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t="s">
        <v>83</v>
      </c>
      <c r="T1593" t="s">
        <v>297</v>
      </c>
    </row>
    <row r="1594" spans="1:20" x14ac:dyDescent="0.25">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t="s">
        <v>58</v>
      </c>
      <c r="T1594" t="s">
        <v>96</v>
      </c>
    </row>
    <row r="1595" spans="1:20" x14ac:dyDescent="0.25">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t="s">
        <v>83</v>
      </c>
      <c r="T1595" t="s">
        <v>96</v>
      </c>
    </row>
    <row r="1596" spans="1:20" x14ac:dyDescent="0.25">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t="s">
        <v>83</v>
      </c>
      <c r="T1596" t="s">
        <v>96</v>
      </c>
    </row>
    <row r="1597" spans="1:20" x14ac:dyDescent="0.25">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t="s">
        <v>83</v>
      </c>
      <c r="T1597" t="s">
        <v>96</v>
      </c>
    </row>
    <row r="1598" spans="1:20" x14ac:dyDescent="0.25">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t="s">
        <v>70</v>
      </c>
      <c r="T1598" t="s">
        <v>77</v>
      </c>
    </row>
    <row r="1599" spans="1:20" x14ac:dyDescent="0.25">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t="s">
        <v>83</v>
      </c>
      <c r="T1599" t="s">
        <v>161</v>
      </c>
    </row>
    <row r="1600" spans="1:20" x14ac:dyDescent="0.25">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t="s">
        <v>83</v>
      </c>
      <c r="T1600" t="s">
        <v>34</v>
      </c>
    </row>
    <row r="1601" spans="1:20" x14ac:dyDescent="0.25">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t="s">
        <v>70</v>
      </c>
      <c r="T1601" t="s">
        <v>96</v>
      </c>
    </row>
    <row r="1602" spans="1:20" x14ac:dyDescent="0.25">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t="s">
        <v>83</v>
      </c>
      <c r="T1602" t="s">
        <v>77</v>
      </c>
    </row>
    <row r="1603" spans="1:20" x14ac:dyDescent="0.25">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t="s">
        <v>70</v>
      </c>
      <c r="T1603" t="s">
        <v>169</v>
      </c>
    </row>
    <row r="1604" spans="1:20" x14ac:dyDescent="0.25">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t="s">
        <v>70</v>
      </c>
      <c r="T1604" t="s">
        <v>169</v>
      </c>
    </row>
    <row r="1605" spans="1:20" x14ac:dyDescent="0.25">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t="s">
        <v>58</v>
      </c>
      <c r="T1605" t="s">
        <v>48</v>
      </c>
    </row>
    <row r="1606" spans="1:20" x14ac:dyDescent="0.25">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t="s">
        <v>33</v>
      </c>
      <c r="T1606" t="s">
        <v>96</v>
      </c>
    </row>
    <row r="1607" spans="1:20" x14ac:dyDescent="0.25">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t="s">
        <v>58</v>
      </c>
      <c r="T1607" t="s">
        <v>113</v>
      </c>
    </row>
    <row r="1608" spans="1:20" x14ac:dyDescent="0.25">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t="s">
        <v>129</v>
      </c>
      <c r="T1608" t="s">
        <v>34</v>
      </c>
    </row>
    <row r="1609" spans="1:20" x14ac:dyDescent="0.25">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t="s">
        <v>83</v>
      </c>
      <c r="T1609" t="s">
        <v>77</v>
      </c>
    </row>
    <row r="1610" spans="1:20" x14ac:dyDescent="0.25">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t="s">
        <v>83</v>
      </c>
      <c r="T1610" t="s">
        <v>77</v>
      </c>
    </row>
    <row r="1611" spans="1:20" x14ac:dyDescent="0.25">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t="s">
        <v>83</v>
      </c>
      <c r="T1611" t="s">
        <v>77</v>
      </c>
    </row>
    <row r="1612" spans="1:20" x14ac:dyDescent="0.25">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t="s">
        <v>83</v>
      </c>
      <c r="T1612" t="s">
        <v>161</v>
      </c>
    </row>
    <row r="1613" spans="1:20" x14ac:dyDescent="0.25">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t="s">
        <v>83</v>
      </c>
      <c r="T1613" t="s">
        <v>161</v>
      </c>
    </row>
    <row r="1614" spans="1:20" x14ac:dyDescent="0.25">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t="s">
        <v>83</v>
      </c>
      <c r="T1614" t="s">
        <v>253</v>
      </c>
    </row>
    <row r="1615" spans="1:20" x14ac:dyDescent="0.25">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t="s">
        <v>70</v>
      </c>
      <c r="T1615" t="s">
        <v>48</v>
      </c>
    </row>
    <row r="1616" spans="1:20" x14ac:dyDescent="0.25">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t="s">
        <v>83</v>
      </c>
      <c r="T1616" t="s">
        <v>34</v>
      </c>
    </row>
    <row r="1617" spans="1:20" x14ac:dyDescent="0.25">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t="s">
        <v>83</v>
      </c>
      <c r="T1617" t="s">
        <v>161</v>
      </c>
    </row>
    <row r="1618" spans="1:20" x14ac:dyDescent="0.25">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t="s">
        <v>70</v>
      </c>
      <c r="T1618" t="s">
        <v>195</v>
      </c>
    </row>
    <row r="1619" spans="1:20" x14ac:dyDescent="0.25">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t="s">
        <v>33</v>
      </c>
      <c r="T1619" t="s">
        <v>96</v>
      </c>
    </row>
    <row r="1620" spans="1:20" x14ac:dyDescent="0.25">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t="s">
        <v>33</v>
      </c>
      <c r="T1620" t="s">
        <v>96</v>
      </c>
    </row>
    <row r="1621" spans="1:20" x14ac:dyDescent="0.25">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t="s">
        <v>33</v>
      </c>
      <c r="T1621" t="s">
        <v>96</v>
      </c>
    </row>
    <row r="1622" spans="1:20" x14ac:dyDescent="0.25">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t="s">
        <v>129</v>
      </c>
      <c r="T1622" t="s">
        <v>195</v>
      </c>
    </row>
    <row r="1623" spans="1:20" x14ac:dyDescent="0.25">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t="s">
        <v>129</v>
      </c>
      <c r="T1623" t="s">
        <v>113</v>
      </c>
    </row>
    <row r="1624" spans="1:20" x14ac:dyDescent="0.25">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t="s">
        <v>123</v>
      </c>
      <c r="T1624" t="s">
        <v>195</v>
      </c>
    </row>
    <row r="1625" spans="1:20" x14ac:dyDescent="0.25">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t="s">
        <v>83</v>
      </c>
      <c r="T1625" t="s">
        <v>96</v>
      </c>
    </row>
    <row r="1626" spans="1:20" x14ac:dyDescent="0.25">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t="s">
        <v>70</v>
      </c>
      <c r="T1626" t="s">
        <v>34</v>
      </c>
    </row>
    <row r="1627" spans="1:20" x14ac:dyDescent="0.25">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t="s">
        <v>430</v>
      </c>
      <c r="T1627" t="s">
        <v>113</v>
      </c>
    </row>
    <row r="1628" spans="1:20" x14ac:dyDescent="0.25">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t="s">
        <v>58</v>
      </c>
      <c r="T1628" t="s">
        <v>169</v>
      </c>
    </row>
    <row r="1629" spans="1:20" x14ac:dyDescent="0.25">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t="s">
        <v>83</v>
      </c>
      <c r="T1629" t="s">
        <v>48</v>
      </c>
    </row>
    <row r="1630" spans="1:20" x14ac:dyDescent="0.25">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t="s">
        <v>70</v>
      </c>
      <c r="T1630" t="s">
        <v>34</v>
      </c>
    </row>
    <row r="1631" spans="1:20" x14ac:dyDescent="0.25">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t="s">
        <v>70</v>
      </c>
      <c r="T1631" t="s">
        <v>34</v>
      </c>
    </row>
    <row r="1632" spans="1:20" x14ac:dyDescent="0.25">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t="s">
        <v>70</v>
      </c>
      <c r="T1632" t="s">
        <v>34</v>
      </c>
    </row>
    <row r="1633" spans="1:20" x14ac:dyDescent="0.25">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t="s">
        <v>47</v>
      </c>
      <c r="T1633" t="s">
        <v>96</v>
      </c>
    </row>
    <row r="1634" spans="1:20" x14ac:dyDescent="0.25">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t="s">
        <v>47</v>
      </c>
      <c r="T1634" t="s">
        <v>96</v>
      </c>
    </row>
    <row r="1635" spans="1:20" x14ac:dyDescent="0.25">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t="s">
        <v>83</v>
      </c>
      <c r="T1635" t="s">
        <v>34</v>
      </c>
    </row>
    <row r="1636" spans="1:20" x14ac:dyDescent="0.25">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t="s">
        <v>70</v>
      </c>
      <c r="T1636" t="s">
        <v>71</v>
      </c>
    </row>
    <row r="1637" spans="1:20" x14ac:dyDescent="0.25">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t="s">
        <v>430</v>
      </c>
      <c r="T1637" t="s">
        <v>195</v>
      </c>
    </row>
    <row r="1638" spans="1:20" x14ac:dyDescent="0.25">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t="s">
        <v>83</v>
      </c>
      <c r="T1638" t="s">
        <v>96</v>
      </c>
    </row>
    <row r="1639" spans="1:20" x14ac:dyDescent="0.25">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t="s">
        <v>47</v>
      </c>
      <c r="T1639" t="s">
        <v>253</v>
      </c>
    </row>
    <row r="1640" spans="1:20" x14ac:dyDescent="0.25">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t="s">
        <v>70</v>
      </c>
      <c r="T1640" t="s">
        <v>48</v>
      </c>
    </row>
    <row r="1641" spans="1:20" x14ac:dyDescent="0.25">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t="s">
        <v>83</v>
      </c>
      <c r="T1641" t="s">
        <v>77</v>
      </c>
    </row>
    <row r="1642" spans="1:20" x14ac:dyDescent="0.25">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t="s">
        <v>129</v>
      </c>
      <c r="T1642" t="s">
        <v>59</v>
      </c>
    </row>
    <row r="1643" spans="1:20" x14ac:dyDescent="0.25">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t="s">
        <v>129</v>
      </c>
      <c r="T1643" t="s">
        <v>59</v>
      </c>
    </row>
    <row r="1644" spans="1:20" x14ac:dyDescent="0.25">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t="s">
        <v>33</v>
      </c>
      <c r="T1644" t="s">
        <v>34</v>
      </c>
    </row>
    <row r="1645" spans="1:20" x14ac:dyDescent="0.25">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t="s">
        <v>33</v>
      </c>
      <c r="T1645" t="s">
        <v>34</v>
      </c>
    </row>
    <row r="1646" spans="1:20" x14ac:dyDescent="0.25">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t="s">
        <v>430</v>
      </c>
      <c r="T1646" t="s">
        <v>253</v>
      </c>
    </row>
    <row r="1647" spans="1:20" x14ac:dyDescent="0.25">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t="s">
        <v>70</v>
      </c>
      <c r="T1647" t="s">
        <v>34</v>
      </c>
    </row>
    <row r="1648" spans="1:20" x14ac:dyDescent="0.25">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t="s">
        <v>33</v>
      </c>
      <c r="T1648" t="s">
        <v>161</v>
      </c>
    </row>
    <row r="1649" spans="1:20" x14ac:dyDescent="0.25">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t="s">
        <v>33</v>
      </c>
      <c r="T1649" t="s">
        <v>195</v>
      </c>
    </row>
    <row r="1650" spans="1:20" x14ac:dyDescent="0.25">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t="s">
        <v>58</v>
      </c>
      <c r="T1650" t="s">
        <v>195</v>
      </c>
    </row>
    <row r="1651" spans="1:20" x14ac:dyDescent="0.25">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t="s">
        <v>123</v>
      </c>
      <c r="T1651" t="s">
        <v>297</v>
      </c>
    </row>
    <row r="1652" spans="1:20" x14ac:dyDescent="0.25">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t="s">
        <v>123</v>
      </c>
      <c r="T1652" t="s">
        <v>297</v>
      </c>
    </row>
    <row r="1653" spans="1:20" x14ac:dyDescent="0.25">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t="s">
        <v>70</v>
      </c>
      <c r="T1653" t="s">
        <v>59</v>
      </c>
    </row>
    <row r="1654" spans="1:20" x14ac:dyDescent="0.25">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t="s">
        <v>47</v>
      </c>
      <c r="T1654" t="s">
        <v>161</v>
      </c>
    </row>
    <row r="1655" spans="1:20" x14ac:dyDescent="0.25">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t="s">
        <v>83</v>
      </c>
      <c r="T1655" t="s">
        <v>297</v>
      </c>
    </row>
    <row r="1656" spans="1:20" x14ac:dyDescent="0.25">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t="s">
        <v>58</v>
      </c>
      <c r="T1656" t="s">
        <v>113</v>
      </c>
    </row>
    <row r="1657" spans="1:20" x14ac:dyDescent="0.25">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t="s">
        <v>83</v>
      </c>
      <c r="T1657" t="s">
        <v>113</v>
      </c>
    </row>
    <row r="1658" spans="1:20" x14ac:dyDescent="0.25">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t="s">
        <v>58</v>
      </c>
      <c r="T1658" t="s">
        <v>77</v>
      </c>
    </row>
    <row r="1659" spans="1:20" x14ac:dyDescent="0.25">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t="s">
        <v>58</v>
      </c>
      <c r="T1659" t="s">
        <v>195</v>
      </c>
    </row>
    <row r="1660" spans="1:20" x14ac:dyDescent="0.25">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t="s">
        <v>83</v>
      </c>
      <c r="T1660" t="s">
        <v>71</v>
      </c>
    </row>
    <row r="1661" spans="1:20" x14ac:dyDescent="0.25">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t="s">
        <v>83</v>
      </c>
      <c r="T1661" t="s">
        <v>297</v>
      </c>
    </row>
    <row r="1662" spans="1:20" x14ac:dyDescent="0.25">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t="s">
        <v>58</v>
      </c>
      <c r="T1662" t="s">
        <v>71</v>
      </c>
    </row>
    <row r="1663" spans="1:20" x14ac:dyDescent="0.25">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t="s">
        <v>58</v>
      </c>
      <c r="T1663" t="s">
        <v>71</v>
      </c>
    </row>
    <row r="1664" spans="1:20" x14ac:dyDescent="0.25">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t="s">
        <v>83</v>
      </c>
      <c r="T1664" t="s">
        <v>48</v>
      </c>
    </row>
    <row r="1665" spans="1:20" x14ac:dyDescent="0.25">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t="s">
        <v>58</v>
      </c>
      <c r="T1665" t="s">
        <v>34</v>
      </c>
    </row>
    <row r="1666" spans="1:20" x14ac:dyDescent="0.25">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t="s">
        <v>47</v>
      </c>
      <c r="T1666" t="s">
        <v>59</v>
      </c>
    </row>
    <row r="1667" spans="1:20" x14ac:dyDescent="0.25">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t="s">
        <v>33</v>
      </c>
      <c r="T1667" t="s">
        <v>96</v>
      </c>
    </row>
    <row r="1668" spans="1:20" x14ac:dyDescent="0.25">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t="s">
        <v>33</v>
      </c>
      <c r="T1668" t="s">
        <v>96</v>
      </c>
    </row>
    <row r="1669" spans="1:20" x14ac:dyDescent="0.25">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t="s">
        <v>33</v>
      </c>
      <c r="T1669" t="s">
        <v>96</v>
      </c>
    </row>
    <row r="1670" spans="1:20" x14ac:dyDescent="0.25">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t="s">
        <v>83</v>
      </c>
      <c r="T1670" t="s">
        <v>96</v>
      </c>
    </row>
    <row r="1671" spans="1:20" x14ac:dyDescent="0.25">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t="s">
        <v>58</v>
      </c>
      <c r="T1671" t="s">
        <v>253</v>
      </c>
    </row>
    <row r="1672" spans="1:20" x14ac:dyDescent="0.25">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t="s">
        <v>58</v>
      </c>
      <c r="T1672" t="s">
        <v>253</v>
      </c>
    </row>
    <row r="1673" spans="1:20" x14ac:dyDescent="0.25">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t="s">
        <v>83</v>
      </c>
      <c r="T1673" t="s">
        <v>96</v>
      </c>
    </row>
    <row r="1674" spans="1:20" x14ac:dyDescent="0.25">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t="s">
        <v>83</v>
      </c>
      <c r="T1674" t="s">
        <v>96</v>
      </c>
    </row>
    <row r="1675" spans="1:20" x14ac:dyDescent="0.25">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t="s">
        <v>70</v>
      </c>
      <c r="T1675" t="s">
        <v>113</v>
      </c>
    </row>
    <row r="1676" spans="1:20" x14ac:dyDescent="0.25">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t="s">
        <v>83</v>
      </c>
      <c r="T1676" t="s">
        <v>34</v>
      </c>
    </row>
    <row r="1677" spans="1:20" x14ac:dyDescent="0.25">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t="s">
        <v>83</v>
      </c>
      <c r="T1677" t="s">
        <v>34</v>
      </c>
    </row>
    <row r="1678" spans="1:20" x14ac:dyDescent="0.25">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t="s">
        <v>70</v>
      </c>
      <c r="T1678" t="s">
        <v>71</v>
      </c>
    </row>
    <row r="1679" spans="1:20" x14ac:dyDescent="0.25">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t="s">
        <v>58</v>
      </c>
      <c r="T1679" t="s">
        <v>71</v>
      </c>
    </row>
    <row r="1680" spans="1:20" x14ac:dyDescent="0.25">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t="s">
        <v>33</v>
      </c>
      <c r="T1680" t="s">
        <v>96</v>
      </c>
    </row>
    <row r="1681" spans="1:20" x14ac:dyDescent="0.25">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t="s">
        <v>83</v>
      </c>
      <c r="T1681" t="s">
        <v>195</v>
      </c>
    </row>
    <row r="1682" spans="1:20" x14ac:dyDescent="0.25">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t="s">
        <v>83</v>
      </c>
      <c r="T1682" t="s">
        <v>195</v>
      </c>
    </row>
    <row r="1683" spans="1:20" x14ac:dyDescent="0.25">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t="s">
        <v>58</v>
      </c>
      <c r="T1683" t="s">
        <v>48</v>
      </c>
    </row>
    <row r="1684" spans="1:20" x14ac:dyDescent="0.25">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t="s">
        <v>58</v>
      </c>
      <c r="T1684" t="s">
        <v>48</v>
      </c>
    </row>
    <row r="1685" spans="1:20" x14ac:dyDescent="0.25">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t="s">
        <v>58</v>
      </c>
      <c r="T1685" t="s">
        <v>48</v>
      </c>
    </row>
    <row r="1686" spans="1:20" x14ac:dyDescent="0.25">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t="s">
        <v>70</v>
      </c>
      <c r="T1686" t="s">
        <v>48</v>
      </c>
    </row>
    <row r="1687" spans="1:20" x14ac:dyDescent="0.25">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t="s">
        <v>70</v>
      </c>
      <c r="T1687" t="s">
        <v>48</v>
      </c>
    </row>
    <row r="1688" spans="1:20" x14ac:dyDescent="0.25">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t="s">
        <v>83</v>
      </c>
      <c r="T1688" t="s">
        <v>253</v>
      </c>
    </row>
    <row r="1689" spans="1:20" x14ac:dyDescent="0.25">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t="s">
        <v>33</v>
      </c>
      <c r="T1689" t="s">
        <v>77</v>
      </c>
    </row>
    <row r="1690" spans="1:20" x14ac:dyDescent="0.25">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t="s">
        <v>33</v>
      </c>
      <c r="T1690" t="s">
        <v>34</v>
      </c>
    </row>
    <row r="1691" spans="1:20" x14ac:dyDescent="0.25">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t="s">
        <v>70</v>
      </c>
      <c r="T1691" t="s">
        <v>34</v>
      </c>
    </row>
    <row r="1692" spans="1:20" x14ac:dyDescent="0.25">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t="s">
        <v>33</v>
      </c>
      <c r="T1692" t="s">
        <v>161</v>
      </c>
    </row>
    <row r="1693" spans="1:20" x14ac:dyDescent="0.25">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t="s">
        <v>70</v>
      </c>
      <c r="T1693" t="s">
        <v>96</v>
      </c>
    </row>
    <row r="1694" spans="1:20" x14ac:dyDescent="0.25">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t="s">
        <v>70</v>
      </c>
      <c r="T1694" t="s">
        <v>96</v>
      </c>
    </row>
    <row r="1695" spans="1:20" x14ac:dyDescent="0.25">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t="s">
        <v>47</v>
      </c>
      <c r="T1695" t="s">
        <v>34</v>
      </c>
    </row>
    <row r="1696" spans="1:20" x14ac:dyDescent="0.25">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t="s">
        <v>430</v>
      </c>
      <c r="T1696" t="s">
        <v>161</v>
      </c>
    </row>
    <row r="1697" spans="1:20" x14ac:dyDescent="0.25">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t="s">
        <v>70</v>
      </c>
      <c r="T1697" t="s">
        <v>77</v>
      </c>
    </row>
    <row r="1698" spans="1:20" x14ac:dyDescent="0.25">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t="s">
        <v>83</v>
      </c>
      <c r="T1698" t="s">
        <v>71</v>
      </c>
    </row>
    <row r="1699" spans="1:20" x14ac:dyDescent="0.25">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t="s">
        <v>83</v>
      </c>
      <c r="T1699" t="s">
        <v>77</v>
      </c>
    </row>
    <row r="1700" spans="1:20" x14ac:dyDescent="0.25">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t="s">
        <v>83</v>
      </c>
      <c r="T1700" t="s">
        <v>169</v>
      </c>
    </row>
    <row r="1701" spans="1:20" x14ac:dyDescent="0.25">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t="s">
        <v>33</v>
      </c>
      <c r="T1701" t="s">
        <v>59</v>
      </c>
    </row>
    <row r="1702" spans="1:20" x14ac:dyDescent="0.25">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t="s">
        <v>70</v>
      </c>
      <c r="T1702" t="s">
        <v>59</v>
      </c>
    </row>
    <row r="1703" spans="1:20" x14ac:dyDescent="0.25">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t="s">
        <v>83</v>
      </c>
      <c r="T1703" t="s">
        <v>253</v>
      </c>
    </row>
    <row r="1704" spans="1:20" x14ac:dyDescent="0.25">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t="s">
        <v>83</v>
      </c>
      <c r="T1704" t="s">
        <v>195</v>
      </c>
    </row>
    <row r="1705" spans="1:20" x14ac:dyDescent="0.25">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t="s">
        <v>83</v>
      </c>
      <c r="T1705" t="s">
        <v>77</v>
      </c>
    </row>
    <row r="1706" spans="1:20" x14ac:dyDescent="0.25">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t="s">
        <v>47</v>
      </c>
      <c r="T1706" t="s">
        <v>253</v>
      </c>
    </row>
    <row r="1707" spans="1:20" x14ac:dyDescent="0.25">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t="s">
        <v>47</v>
      </c>
      <c r="T1707" t="s">
        <v>253</v>
      </c>
    </row>
    <row r="1708" spans="1:20" x14ac:dyDescent="0.25">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t="s">
        <v>83</v>
      </c>
      <c r="T1708" t="s">
        <v>48</v>
      </c>
    </row>
    <row r="1709" spans="1:20" x14ac:dyDescent="0.25">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t="s">
        <v>83</v>
      </c>
      <c r="T1709" t="s">
        <v>169</v>
      </c>
    </row>
    <row r="1710" spans="1:20" x14ac:dyDescent="0.25">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t="s">
        <v>83</v>
      </c>
      <c r="T1710" t="s">
        <v>169</v>
      </c>
    </row>
    <row r="1711" spans="1:20" x14ac:dyDescent="0.25">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t="s">
        <v>129</v>
      </c>
      <c r="T1711" t="s">
        <v>59</v>
      </c>
    </row>
    <row r="1712" spans="1:20" x14ac:dyDescent="0.25">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t="s">
        <v>129</v>
      </c>
      <c r="T1712" t="s">
        <v>48</v>
      </c>
    </row>
    <row r="1713" spans="1:20" x14ac:dyDescent="0.25">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t="s">
        <v>58</v>
      </c>
      <c r="T1713" t="s">
        <v>71</v>
      </c>
    </row>
    <row r="1714" spans="1:20" x14ac:dyDescent="0.25">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t="s">
        <v>70</v>
      </c>
      <c r="T1714" t="s">
        <v>297</v>
      </c>
    </row>
    <row r="1715" spans="1:20" x14ac:dyDescent="0.25">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t="s">
        <v>47</v>
      </c>
      <c r="T1715" t="s">
        <v>96</v>
      </c>
    </row>
    <row r="1716" spans="1:20" x14ac:dyDescent="0.25">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t="s">
        <v>58</v>
      </c>
      <c r="T1716" t="s">
        <v>34</v>
      </c>
    </row>
    <row r="1717" spans="1:20" x14ac:dyDescent="0.25">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t="s">
        <v>70</v>
      </c>
      <c r="T1717" t="s">
        <v>96</v>
      </c>
    </row>
    <row r="1718" spans="1:20" x14ac:dyDescent="0.25">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t="s">
        <v>70</v>
      </c>
      <c r="T1718" t="s">
        <v>96</v>
      </c>
    </row>
    <row r="1719" spans="1:20" x14ac:dyDescent="0.25">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t="s">
        <v>129</v>
      </c>
      <c r="T1719" t="s">
        <v>253</v>
      </c>
    </row>
    <row r="1720" spans="1:20" x14ac:dyDescent="0.25">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t="s">
        <v>58</v>
      </c>
      <c r="T1720" t="s">
        <v>71</v>
      </c>
    </row>
    <row r="1721" spans="1:20" x14ac:dyDescent="0.25">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t="s">
        <v>58</v>
      </c>
      <c r="T1721" t="s">
        <v>34</v>
      </c>
    </row>
    <row r="1722" spans="1:20" x14ac:dyDescent="0.25">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t="s">
        <v>58</v>
      </c>
      <c r="T1722" t="s">
        <v>34</v>
      </c>
    </row>
    <row r="1723" spans="1:20" x14ac:dyDescent="0.25">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t="s">
        <v>58</v>
      </c>
      <c r="T1723" t="s">
        <v>77</v>
      </c>
    </row>
    <row r="1724" spans="1:20" x14ac:dyDescent="0.25">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t="s">
        <v>129</v>
      </c>
      <c r="T1724" t="s">
        <v>253</v>
      </c>
    </row>
    <row r="1725" spans="1:20" x14ac:dyDescent="0.25">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t="s">
        <v>58</v>
      </c>
      <c r="T1725" t="s">
        <v>48</v>
      </c>
    </row>
    <row r="1726" spans="1:20" x14ac:dyDescent="0.25">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t="s">
        <v>83</v>
      </c>
      <c r="T1726" t="s">
        <v>253</v>
      </c>
    </row>
    <row r="1727" spans="1:20" x14ac:dyDescent="0.25">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t="s">
        <v>83</v>
      </c>
      <c r="T1727" t="s">
        <v>34</v>
      </c>
    </row>
    <row r="1728" spans="1:20" x14ac:dyDescent="0.25">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t="s">
        <v>58</v>
      </c>
      <c r="T1728" t="s">
        <v>297</v>
      </c>
    </row>
    <row r="1729" spans="1:20" x14ac:dyDescent="0.25">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t="s">
        <v>33</v>
      </c>
      <c r="T1729" t="s">
        <v>169</v>
      </c>
    </row>
    <row r="1730" spans="1:20" x14ac:dyDescent="0.25">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t="s">
        <v>58</v>
      </c>
      <c r="T1730" t="s">
        <v>48</v>
      </c>
    </row>
    <row r="1731" spans="1:20" x14ac:dyDescent="0.25">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t="s">
        <v>83</v>
      </c>
      <c r="T1731" t="s">
        <v>297</v>
      </c>
    </row>
    <row r="1732" spans="1:20" x14ac:dyDescent="0.25">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t="s">
        <v>83</v>
      </c>
      <c r="T1732" t="s">
        <v>34</v>
      </c>
    </row>
    <row r="1733" spans="1:20" x14ac:dyDescent="0.25">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t="s">
        <v>83</v>
      </c>
      <c r="T1733" t="s">
        <v>34</v>
      </c>
    </row>
    <row r="1734" spans="1:20" x14ac:dyDescent="0.25">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t="s">
        <v>58</v>
      </c>
      <c r="T1734" t="s">
        <v>71</v>
      </c>
    </row>
    <row r="1735" spans="1:20" x14ac:dyDescent="0.25">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t="s">
        <v>47</v>
      </c>
      <c r="T1735" t="s">
        <v>34</v>
      </c>
    </row>
    <row r="1736" spans="1:20" x14ac:dyDescent="0.25">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t="s">
        <v>47</v>
      </c>
      <c r="T1736" t="s">
        <v>34</v>
      </c>
    </row>
    <row r="1737" spans="1:20" x14ac:dyDescent="0.25">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t="s">
        <v>83</v>
      </c>
      <c r="T1737" t="s">
        <v>253</v>
      </c>
    </row>
    <row r="1738" spans="1:20" x14ac:dyDescent="0.25">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t="s">
        <v>83</v>
      </c>
      <c r="T1738" t="s">
        <v>34</v>
      </c>
    </row>
    <row r="1739" spans="1:20" x14ac:dyDescent="0.25">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t="s">
        <v>83</v>
      </c>
      <c r="T1739" t="s">
        <v>161</v>
      </c>
    </row>
    <row r="1740" spans="1:20" x14ac:dyDescent="0.25">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t="s">
        <v>83</v>
      </c>
      <c r="T1740" t="s">
        <v>161</v>
      </c>
    </row>
    <row r="1741" spans="1:20" x14ac:dyDescent="0.25">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t="s">
        <v>83</v>
      </c>
      <c r="T1741" t="s">
        <v>77</v>
      </c>
    </row>
    <row r="1742" spans="1:20" x14ac:dyDescent="0.25">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t="s">
        <v>83</v>
      </c>
      <c r="T1742" t="s">
        <v>34</v>
      </c>
    </row>
    <row r="1743" spans="1:20" x14ac:dyDescent="0.25">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t="s">
        <v>33</v>
      </c>
      <c r="T1743" t="s">
        <v>34</v>
      </c>
    </row>
    <row r="1744" spans="1:20" x14ac:dyDescent="0.25">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t="s">
        <v>430</v>
      </c>
      <c r="T1744" t="s">
        <v>34</v>
      </c>
    </row>
    <row r="1745" spans="1:20" x14ac:dyDescent="0.25">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t="s">
        <v>430</v>
      </c>
      <c r="T1745" t="s">
        <v>34</v>
      </c>
    </row>
    <row r="1746" spans="1:20" x14ac:dyDescent="0.25">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t="s">
        <v>83</v>
      </c>
      <c r="T1746" t="s">
        <v>113</v>
      </c>
    </row>
    <row r="1747" spans="1:20" x14ac:dyDescent="0.25">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t="s">
        <v>58</v>
      </c>
      <c r="T1747" t="s">
        <v>34</v>
      </c>
    </row>
    <row r="1748" spans="1:20" x14ac:dyDescent="0.25">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t="s">
        <v>83</v>
      </c>
      <c r="T1748" t="s">
        <v>48</v>
      </c>
    </row>
    <row r="1749" spans="1:20" x14ac:dyDescent="0.25">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t="s">
        <v>83</v>
      </c>
      <c r="T1749" t="s">
        <v>113</v>
      </c>
    </row>
    <row r="1750" spans="1:20" x14ac:dyDescent="0.25">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t="s">
        <v>70</v>
      </c>
      <c r="T1750" t="s">
        <v>59</v>
      </c>
    </row>
    <row r="1751" spans="1:20" x14ac:dyDescent="0.25">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t="s">
        <v>58</v>
      </c>
      <c r="T1751" t="s">
        <v>161</v>
      </c>
    </row>
    <row r="1752" spans="1:20" x14ac:dyDescent="0.25">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t="s">
        <v>58</v>
      </c>
      <c r="T1752" t="s">
        <v>161</v>
      </c>
    </row>
    <row r="1753" spans="1:20" x14ac:dyDescent="0.25">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t="s">
        <v>430</v>
      </c>
      <c r="T1753" t="s">
        <v>48</v>
      </c>
    </row>
    <row r="1754" spans="1:20" x14ac:dyDescent="0.25">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t="s">
        <v>83</v>
      </c>
      <c r="T1754" t="s">
        <v>253</v>
      </c>
    </row>
    <row r="1755" spans="1:20" x14ac:dyDescent="0.25">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t="s">
        <v>83</v>
      </c>
      <c r="T1755" t="s">
        <v>195</v>
      </c>
    </row>
    <row r="1756" spans="1:20" x14ac:dyDescent="0.25">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t="s">
        <v>47</v>
      </c>
      <c r="T1756" t="s">
        <v>169</v>
      </c>
    </row>
    <row r="1757" spans="1:20" x14ac:dyDescent="0.25">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t="s">
        <v>129</v>
      </c>
      <c r="T1757" t="s">
        <v>96</v>
      </c>
    </row>
    <row r="1758" spans="1:20" x14ac:dyDescent="0.25">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t="s">
        <v>58</v>
      </c>
      <c r="T1758" t="s">
        <v>48</v>
      </c>
    </row>
    <row r="1759" spans="1:20" x14ac:dyDescent="0.25">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t="s">
        <v>123</v>
      </c>
      <c r="T1759" t="s">
        <v>161</v>
      </c>
    </row>
    <row r="1760" spans="1:20" x14ac:dyDescent="0.25">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t="s">
        <v>58</v>
      </c>
      <c r="T1760" t="s">
        <v>96</v>
      </c>
    </row>
    <row r="1761" spans="1:20" x14ac:dyDescent="0.25">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t="s">
        <v>129</v>
      </c>
      <c r="T1761" t="s">
        <v>71</v>
      </c>
    </row>
    <row r="1762" spans="1:20" x14ac:dyDescent="0.25">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t="s">
        <v>129</v>
      </c>
      <c r="T1762" t="s">
        <v>71</v>
      </c>
    </row>
    <row r="1763" spans="1:20" x14ac:dyDescent="0.25">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t="s">
        <v>129</v>
      </c>
      <c r="T1763" t="s">
        <v>34</v>
      </c>
    </row>
    <row r="1764" spans="1:20" x14ac:dyDescent="0.25">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t="s">
        <v>129</v>
      </c>
      <c r="T1764" t="s">
        <v>195</v>
      </c>
    </row>
    <row r="1765" spans="1:20" x14ac:dyDescent="0.25">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t="s">
        <v>58</v>
      </c>
      <c r="T1765" t="s">
        <v>169</v>
      </c>
    </row>
    <row r="1766" spans="1:20" x14ac:dyDescent="0.25">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t="s">
        <v>83</v>
      </c>
      <c r="T1766" t="s">
        <v>71</v>
      </c>
    </row>
    <row r="1767" spans="1:20" x14ac:dyDescent="0.25">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t="s">
        <v>33</v>
      </c>
      <c r="T1767" t="s">
        <v>195</v>
      </c>
    </row>
    <row r="1768" spans="1:20" x14ac:dyDescent="0.25">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t="s">
        <v>83</v>
      </c>
      <c r="T1768" t="s">
        <v>113</v>
      </c>
    </row>
    <row r="1769" spans="1:20" x14ac:dyDescent="0.25">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t="s">
        <v>83</v>
      </c>
      <c r="T1769" t="s">
        <v>195</v>
      </c>
    </row>
    <row r="1770" spans="1:20" x14ac:dyDescent="0.25">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t="s">
        <v>83</v>
      </c>
      <c r="T1770" t="s">
        <v>195</v>
      </c>
    </row>
    <row r="1771" spans="1:20" x14ac:dyDescent="0.25">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t="s">
        <v>83</v>
      </c>
      <c r="T1771" t="s">
        <v>113</v>
      </c>
    </row>
    <row r="1772" spans="1:20" x14ac:dyDescent="0.25">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t="s">
        <v>83</v>
      </c>
      <c r="T1772" t="s">
        <v>113</v>
      </c>
    </row>
    <row r="1773" spans="1:20" x14ac:dyDescent="0.25">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t="s">
        <v>83</v>
      </c>
      <c r="T1773" t="s">
        <v>113</v>
      </c>
    </row>
    <row r="1774" spans="1:20" x14ac:dyDescent="0.25">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t="s">
        <v>58</v>
      </c>
      <c r="T1774" t="s">
        <v>161</v>
      </c>
    </row>
    <row r="1775" spans="1:20" x14ac:dyDescent="0.25">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t="s">
        <v>58</v>
      </c>
      <c r="T1775" t="s">
        <v>161</v>
      </c>
    </row>
    <row r="1776" spans="1:20" x14ac:dyDescent="0.25">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t="s">
        <v>83</v>
      </c>
      <c r="T1776" t="s">
        <v>253</v>
      </c>
    </row>
    <row r="1777" spans="1:20" x14ac:dyDescent="0.25">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t="s">
        <v>70</v>
      </c>
      <c r="T1777" t="s">
        <v>169</v>
      </c>
    </row>
    <row r="1778" spans="1:20" x14ac:dyDescent="0.25">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t="s">
        <v>58</v>
      </c>
      <c r="T1778" t="s">
        <v>59</v>
      </c>
    </row>
    <row r="1779" spans="1:20" x14ac:dyDescent="0.25">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t="s">
        <v>83</v>
      </c>
      <c r="T1779" t="s">
        <v>48</v>
      </c>
    </row>
    <row r="1780" spans="1:20" x14ac:dyDescent="0.25">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t="s">
        <v>47</v>
      </c>
      <c r="T1780" t="s">
        <v>34</v>
      </c>
    </row>
    <row r="1781" spans="1:20" x14ac:dyDescent="0.25">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t="s">
        <v>47</v>
      </c>
      <c r="T1781" t="s">
        <v>297</v>
      </c>
    </row>
    <row r="1782" spans="1:20" x14ac:dyDescent="0.25">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t="s">
        <v>47</v>
      </c>
      <c r="T1782" t="s">
        <v>96</v>
      </c>
    </row>
    <row r="1783" spans="1:20" x14ac:dyDescent="0.25">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t="s">
        <v>58</v>
      </c>
      <c r="T1783" t="s">
        <v>96</v>
      </c>
    </row>
    <row r="1784" spans="1:20" x14ac:dyDescent="0.25">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t="s">
        <v>58</v>
      </c>
      <c r="T1784" t="s">
        <v>96</v>
      </c>
    </row>
    <row r="1785" spans="1:20" x14ac:dyDescent="0.25">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t="s">
        <v>58</v>
      </c>
      <c r="T1785" t="s">
        <v>34</v>
      </c>
    </row>
    <row r="1786" spans="1:20" x14ac:dyDescent="0.25">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t="s">
        <v>83</v>
      </c>
      <c r="T1786" t="s">
        <v>96</v>
      </c>
    </row>
    <row r="1787" spans="1:20" x14ac:dyDescent="0.25">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t="s">
        <v>83</v>
      </c>
      <c r="T1787" t="s">
        <v>71</v>
      </c>
    </row>
    <row r="1788" spans="1:20" x14ac:dyDescent="0.25">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t="s">
        <v>83</v>
      </c>
      <c r="T1788" t="s">
        <v>71</v>
      </c>
    </row>
    <row r="1789" spans="1:20" x14ac:dyDescent="0.25">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t="s">
        <v>430</v>
      </c>
      <c r="T1789" t="s">
        <v>34</v>
      </c>
    </row>
    <row r="1790" spans="1:20" x14ac:dyDescent="0.25">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t="s">
        <v>83</v>
      </c>
      <c r="T1790" t="s">
        <v>195</v>
      </c>
    </row>
    <row r="1791" spans="1:20" x14ac:dyDescent="0.25">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t="s">
        <v>70</v>
      </c>
      <c r="T1791" t="s">
        <v>161</v>
      </c>
    </row>
    <row r="1792" spans="1:20" x14ac:dyDescent="0.25">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t="s">
        <v>83</v>
      </c>
      <c r="T1792" t="s">
        <v>48</v>
      </c>
    </row>
    <row r="1793" spans="1:20" x14ac:dyDescent="0.25">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t="s">
        <v>83</v>
      </c>
      <c r="T1793" t="s">
        <v>48</v>
      </c>
    </row>
    <row r="1794" spans="1:20" x14ac:dyDescent="0.25">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t="s">
        <v>70</v>
      </c>
      <c r="T1794" t="s">
        <v>96</v>
      </c>
    </row>
    <row r="1795" spans="1:20" x14ac:dyDescent="0.25">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t="s">
        <v>58</v>
      </c>
      <c r="T1795" t="s">
        <v>34</v>
      </c>
    </row>
    <row r="1796" spans="1:20" x14ac:dyDescent="0.25">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t="s">
        <v>83</v>
      </c>
      <c r="T1796" t="s">
        <v>77</v>
      </c>
    </row>
    <row r="1797" spans="1:20" x14ac:dyDescent="0.25">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t="s">
        <v>123</v>
      </c>
      <c r="T1797" t="s">
        <v>48</v>
      </c>
    </row>
    <row r="1798" spans="1:20" x14ac:dyDescent="0.25">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t="s">
        <v>123</v>
      </c>
      <c r="T1798" t="s">
        <v>48</v>
      </c>
    </row>
    <row r="1799" spans="1:20" x14ac:dyDescent="0.25">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t="s">
        <v>123</v>
      </c>
      <c r="T1799" t="s">
        <v>48</v>
      </c>
    </row>
    <row r="1800" spans="1:20" x14ac:dyDescent="0.25">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t="s">
        <v>123</v>
      </c>
      <c r="T1800" t="s">
        <v>48</v>
      </c>
    </row>
    <row r="1801" spans="1:20" x14ac:dyDescent="0.25">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t="s">
        <v>58</v>
      </c>
      <c r="T1801" t="s">
        <v>113</v>
      </c>
    </row>
    <row r="1802" spans="1:20" x14ac:dyDescent="0.25">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t="s">
        <v>58</v>
      </c>
      <c r="T1802" t="s">
        <v>113</v>
      </c>
    </row>
    <row r="1803" spans="1:20" x14ac:dyDescent="0.25">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t="s">
        <v>58</v>
      </c>
      <c r="T1803" t="s">
        <v>161</v>
      </c>
    </row>
    <row r="1804" spans="1:20" x14ac:dyDescent="0.25">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t="s">
        <v>129</v>
      </c>
      <c r="T1804" t="s">
        <v>34</v>
      </c>
    </row>
    <row r="1805" spans="1:20" x14ac:dyDescent="0.25">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t="s">
        <v>83</v>
      </c>
      <c r="T1805" t="s">
        <v>113</v>
      </c>
    </row>
    <row r="1806" spans="1:20" x14ac:dyDescent="0.25">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t="s">
        <v>83</v>
      </c>
      <c r="T1806" t="s">
        <v>113</v>
      </c>
    </row>
    <row r="1807" spans="1:20" x14ac:dyDescent="0.25">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t="s">
        <v>430</v>
      </c>
      <c r="T1807" t="s">
        <v>77</v>
      </c>
    </row>
    <row r="1808" spans="1:20" x14ac:dyDescent="0.25">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t="s">
        <v>70</v>
      </c>
      <c r="T1808" t="s">
        <v>297</v>
      </c>
    </row>
    <row r="1809" spans="1:20" x14ac:dyDescent="0.25">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t="s">
        <v>70</v>
      </c>
      <c r="T1809" t="s">
        <v>195</v>
      </c>
    </row>
    <row r="1810" spans="1:20" x14ac:dyDescent="0.25">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t="s">
        <v>83</v>
      </c>
      <c r="T1810" t="s">
        <v>161</v>
      </c>
    </row>
    <row r="1811" spans="1:20" x14ac:dyDescent="0.25">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t="s">
        <v>129</v>
      </c>
      <c r="T1811" t="s">
        <v>297</v>
      </c>
    </row>
    <row r="1812" spans="1:20" x14ac:dyDescent="0.25">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t="s">
        <v>33</v>
      </c>
      <c r="T1812" t="s">
        <v>59</v>
      </c>
    </row>
    <row r="1813" spans="1:20" x14ac:dyDescent="0.25">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t="s">
        <v>129</v>
      </c>
      <c r="T1813" t="s">
        <v>96</v>
      </c>
    </row>
    <row r="1814" spans="1:20" x14ac:dyDescent="0.25">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t="s">
        <v>129</v>
      </c>
      <c r="T1814" t="s">
        <v>96</v>
      </c>
    </row>
    <row r="1815" spans="1:20" x14ac:dyDescent="0.25">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t="s">
        <v>129</v>
      </c>
      <c r="T1815" t="s">
        <v>96</v>
      </c>
    </row>
    <row r="1816" spans="1:20" x14ac:dyDescent="0.25">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t="s">
        <v>83</v>
      </c>
      <c r="T1816" t="s">
        <v>169</v>
      </c>
    </row>
    <row r="1817" spans="1:20" x14ac:dyDescent="0.25">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t="s">
        <v>430</v>
      </c>
      <c r="T1817" t="s">
        <v>195</v>
      </c>
    </row>
    <row r="1818" spans="1:20" x14ac:dyDescent="0.25">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t="s">
        <v>47</v>
      </c>
      <c r="T1818" t="s">
        <v>34</v>
      </c>
    </row>
    <row r="1819" spans="1:20" x14ac:dyDescent="0.25">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t="s">
        <v>129</v>
      </c>
      <c r="T1819" t="s">
        <v>34</v>
      </c>
    </row>
    <row r="1820" spans="1:20" x14ac:dyDescent="0.25">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t="s">
        <v>123</v>
      </c>
      <c r="T1820" t="s">
        <v>96</v>
      </c>
    </row>
    <row r="1821" spans="1:20" x14ac:dyDescent="0.25">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t="s">
        <v>83</v>
      </c>
      <c r="T1821" t="s">
        <v>195</v>
      </c>
    </row>
    <row r="1822" spans="1:20" x14ac:dyDescent="0.25">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t="s">
        <v>83</v>
      </c>
      <c r="T1822" t="s">
        <v>195</v>
      </c>
    </row>
    <row r="1823" spans="1:20" x14ac:dyDescent="0.25">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t="s">
        <v>123</v>
      </c>
      <c r="T1823" t="s">
        <v>77</v>
      </c>
    </row>
    <row r="1824" spans="1:20" x14ac:dyDescent="0.25">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t="s">
        <v>70</v>
      </c>
      <c r="T1824" t="s">
        <v>96</v>
      </c>
    </row>
    <row r="1825" spans="1:20" x14ac:dyDescent="0.25">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t="s">
        <v>33</v>
      </c>
      <c r="T1825" t="s">
        <v>96</v>
      </c>
    </row>
    <row r="1826" spans="1:20" x14ac:dyDescent="0.25">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t="s">
        <v>83</v>
      </c>
      <c r="T1826" t="s">
        <v>113</v>
      </c>
    </row>
    <row r="1827" spans="1:20" x14ac:dyDescent="0.25">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t="s">
        <v>83</v>
      </c>
      <c r="T1827" t="s">
        <v>113</v>
      </c>
    </row>
    <row r="1828" spans="1:20" x14ac:dyDescent="0.25">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t="s">
        <v>123</v>
      </c>
      <c r="T1828" t="s">
        <v>71</v>
      </c>
    </row>
    <row r="1829" spans="1:20" x14ac:dyDescent="0.25">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t="s">
        <v>83</v>
      </c>
      <c r="T1829" t="s">
        <v>96</v>
      </c>
    </row>
    <row r="1830" spans="1:20" x14ac:dyDescent="0.25">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t="s">
        <v>70</v>
      </c>
      <c r="T1830" t="s">
        <v>161</v>
      </c>
    </row>
    <row r="1831" spans="1:20" x14ac:dyDescent="0.25">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t="s">
        <v>33</v>
      </c>
      <c r="T1831" t="s">
        <v>113</v>
      </c>
    </row>
    <row r="1832" spans="1:20" x14ac:dyDescent="0.25">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t="s">
        <v>58</v>
      </c>
      <c r="T1832" t="s">
        <v>59</v>
      </c>
    </row>
    <row r="1833" spans="1:20" x14ac:dyDescent="0.25">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t="s">
        <v>58</v>
      </c>
      <c r="T1833" t="s">
        <v>59</v>
      </c>
    </row>
    <row r="1834" spans="1:20" x14ac:dyDescent="0.25">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t="s">
        <v>58</v>
      </c>
      <c r="T1834" t="s">
        <v>59</v>
      </c>
    </row>
    <row r="1835" spans="1:20" x14ac:dyDescent="0.25">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t="s">
        <v>58</v>
      </c>
      <c r="T1835" t="s">
        <v>195</v>
      </c>
    </row>
    <row r="1836" spans="1:20" x14ac:dyDescent="0.25">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t="s">
        <v>33</v>
      </c>
      <c r="T1836" t="s">
        <v>34</v>
      </c>
    </row>
    <row r="1837" spans="1:20" x14ac:dyDescent="0.25">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t="s">
        <v>58</v>
      </c>
      <c r="T1837" t="s">
        <v>77</v>
      </c>
    </row>
    <row r="1838" spans="1:20" x14ac:dyDescent="0.25">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t="s">
        <v>123</v>
      </c>
      <c r="T1838" t="s">
        <v>71</v>
      </c>
    </row>
    <row r="1839" spans="1:20" x14ac:dyDescent="0.25">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t="s">
        <v>83</v>
      </c>
      <c r="T1839" t="s">
        <v>253</v>
      </c>
    </row>
    <row r="1840" spans="1:20" x14ac:dyDescent="0.25">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t="s">
        <v>58</v>
      </c>
      <c r="T1840" t="s">
        <v>113</v>
      </c>
    </row>
    <row r="1841" spans="1:20" x14ac:dyDescent="0.25">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t="s">
        <v>47</v>
      </c>
      <c r="T1841" t="s">
        <v>34</v>
      </c>
    </row>
    <row r="1842" spans="1:20" x14ac:dyDescent="0.25">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t="s">
        <v>83</v>
      </c>
      <c r="T1842" t="s">
        <v>34</v>
      </c>
    </row>
    <row r="1843" spans="1:20" x14ac:dyDescent="0.25">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t="s">
        <v>33</v>
      </c>
      <c r="T1843" t="s">
        <v>96</v>
      </c>
    </row>
    <row r="1844" spans="1:20" x14ac:dyDescent="0.25">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t="s">
        <v>430</v>
      </c>
      <c r="T1844" t="s">
        <v>77</v>
      </c>
    </row>
    <row r="1845" spans="1:20" x14ac:dyDescent="0.25">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t="s">
        <v>58</v>
      </c>
      <c r="T1845" t="s">
        <v>34</v>
      </c>
    </row>
    <row r="1846" spans="1:20" x14ac:dyDescent="0.25">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t="s">
        <v>58</v>
      </c>
      <c r="T1846" t="s">
        <v>161</v>
      </c>
    </row>
    <row r="1847" spans="1:20" x14ac:dyDescent="0.25">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t="s">
        <v>70</v>
      </c>
      <c r="T1847" t="s">
        <v>195</v>
      </c>
    </row>
    <row r="1848" spans="1:20" x14ac:dyDescent="0.25">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t="s">
        <v>58</v>
      </c>
      <c r="T1848" t="s">
        <v>96</v>
      </c>
    </row>
    <row r="1849" spans="1:20" x14ac:dyDescent="0.25">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t="s">
        <v>58</v>
      </c>
      <c r="T1849" t="s">
        <v>297</v>
      </c>
    </row>
    <row r="1850" spans="1:20" x14ac:dyDescent="0.25">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t="s">
        <v>58</v>
      </c>
      <c r="T1850" t="s">
        <v>297</v>
      </c>
    </row>
    <row r="1851" spans="1:20" x14ac:dyDescent="0.25">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t="s">
        <v>70</v>
      </c>
      <c r="T1851" t="s">
        <v>48</v>
      </c>
    </row>
    <row r="1852" spans="1:20" x14ac:dyDescent="0.25">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t="s">
        <v>70</v>
      </c>
      <c r="T1852" t="s">
        <v>77</v>
      </c>
    </row>
    <row r="1853" spans="1:20" x14ac:dyDescent="0.25">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t="s">
        <v>58</v>
      </c>
      <c r="T1853" t="s">
        <v>59</v>
      </c>
    </row>
    <row r="1854" spans="1:20" x14ac:dyDescent="0.25">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t="s">
        <v>58</v>
      </c>
      <c r="T1854" t="s">
        <v>59</v>
      </c>
    </row>
    <row r="1855" spans="1:20" x14ac:dyDescent="0.25">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t="s">
        <v>58</v>
      </c>
      <c r="T1855" t="s">
        <v>77</v>
      </c>
    </row>
    <row r="1856" spans="1:20" x14ac:dyDescent="0.25">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t="s">
        <v>70</v>
      </c>
      <c r="T1856" t="s">
        <v>34</v>
      </c>
    </row>
    <row r="1857" spans="1:20" x14ac:dyDescent="0.25">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t="s">
        <v>83</v>
      </c>
      <c r="T1857" t="s">
        <v>195</v>
      </c>
    </row>
    <row r="1858" spans="1:20" x14ac:dyDescent="0.25">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t="s">
        <v>83</v>
      </c>
      <c r="T1858" t="s">
        <v>96</v>
      </c>
    </row>
    <row r="1859" spans="1:20" x14ac:dyDescent="0.25">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t="s">
        <v>83</v>
      </c>
      <c r="T1859" t="s">
        <v>59</v>
      </c>
    </row>
    <row r="1860" spans="1:20" x14ac:dyDescent="0.25">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t="s">
        <v>83</v>
      </c>
      <c r="T1860" t="s">
        <v>59</v>
      </c>
    </row>
    <row r="1861" spans="1:20" x14ac:dyDescent="0.25">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t="s">
        <v>83</v>
      </c>
      <c r="T1861" t="s">
        <v>96</v>
      </c>
    </row>
    <row r="1862" spans="1:20" x14ac:dyDescent="0.25">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t="s">
        <v>83</v>
      </c>
      <c r="T1862" t="s">
        <v>96</v>
      </c>
    </row>
    <row r="1863" spans="1:20" x14ac:dyDescent="0.25">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t="s">
        <v>70</v>
      </c>
      <c r="T1863" t="s">
        <v>59</v>
      </c>
    </row>
    <row r="1864" spans="1:20" x14ac:dyDescent="0.25">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t="s">
        <v>70</v>
      </c>
      <c r="T1864" t="s">
        <v>48</v>
      </c>
    </row>
    <row r="1865" spans="1:20" x14ac:dyDescent="0.25">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t="s">
        <v>58</v>
      </c>
      <c r="T1865" t="s">
        <v>297</v>
      </c>
    </row>
    <row r="1866" spans="1:20" x14ac:dyDescent="0.25">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t="s">
        <v>83</v>
      </c>
      <c r="T1866" t="s">
        <v>71</v>
      </c>
    </row>
    <row r="1867" spans="1:20" x14ac:dyDescent="0.25">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t="s">
        <v>123</v>
      </c>
      <c r="T1867" t="s">
        <v>77</v>
      </c>
    </row>
    <row r="1868" spans="1:20" x14ac:dyDescent="0.25">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t="s">
        <v>123</v>
      </c>
      <c r="T1868" t="s">
        <v>71</v>
      </c>
    </row>
    <row r="1869" spans="1:20" x14ac:dyDescent="0.25">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t="s">
        <v>58</v>
      </c>
      <c r="T1869" t="s">
        <v>96</v>
      </c>
    </row>
    <row r="1870" spans="1:20" x14ac:dyDescent="0.25">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t="s">
        <v>33</v>
      </c>
      <c r="T1870" t="s">
        <v>195</v>
      </c>
    </row>
    <row r="1871" spans="1:20" x14ac:dyDescent="0.25">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t="s">
        <v>58</v>
      </c>
      <c r="T1871" t="s">
        <v>77</v>
      </c>
    </row>
    <row r="1872" spans="1:20" x14ac:dyDescent="0.25">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t="s">
        <v>83</v>
      </c>
      <c r="T1872" t="s">
        <v>59</v>
      </c>
    </row>
    <row r="1873" spans="1:20" x14ac:dyDescent="0.25">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t="s">
        <v>83</v>
      </c>
      <c r="T1873" t="s">
        <v>59</v>
      </c>
    </row>
    <row r="1874" spans="1:20" x14ac:dyDescent="0.25">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t="s">
        <v>70</v>
      </c>
      <c r="T1874" t="s">
        <v>34</v>
      </c>
    </row>
    <row r="1875" spans="1:20" x14ac:dyDescent="0.25">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t="s">
        <v>83</v>
      </c>
      <c r="T1875" t="s">
        <v>77</v>
      </c>
    </row>
    <row r="1876" spans="1:20" x14ac:dyDescent="0.25">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t="s">
        <v>58</v>
      </c>
      <c r="T1876" t="s">
        <v>71</v>
      </c>
    </row>
    <row r="1877" spans="1:20" x14ac:dyDescent="0.25">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t="s">
        <v>83</v>
      </c>
      <c r="T1877" t="s">
        <v>34</v>
      </c>
    </row>
    <row r="1878" spans="1:20" x14ac:dyDescent="0.25">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t="s">
        <v>70</v>
      </c>
      <c r="T1878" t="s">
        <v>71</v>
      </c>
    </row>
    <row r="1879" spans="1:20" x14ac:dyDescent="0.25">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t="s">
        <v>47</v>
      </c>
      <c r="T1879" t="s">
        <v>77</v>
      </c>
    </row>
    <row r="1880" spans="1:20" x14ac:dyDescent="0.25">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t="s">
        <v>33</v>
      </c>
      <c r="T1880" t="s">
        <v>77</v>
      </c>
    </row>
    <row r="1881" spans="1:20" x14ac:dyDescent="0.25">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t="s">
        <v>58</v>
      </c>
      <c r="T1881" t="s">
        <v>96</v>
      </c>
    </row>
    <row r="1882" spans="1:20" x14ac:dyDescent="0.25">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t="s">
        <v>129</v>
      </c>
      <c r="T1882" t="s">
        <v>96</v>
      </c>
    </row>
    <row r="1883" spans="1:20" x14ac:dyDescent="0.25">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t="s">
        <v>70</v>
      </c>
      <c r="T1883" t="s">
        <v>77</v>
      </c>
    </row>
    <row r="1884" spans="1:20" x14ac:dyDescent="0.25">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t="s">
        <v>58</v>
      </c>
      <c r="T1884" t="s">
        <v>96</v>
      </c>
    </row>
    <row r="1885" spans="1:20" x14ac:dyDescent="0.25">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t="s">
        <v>47</v>
      </c>
      <c r="T1885" t="s">
        <v>253</v>
      </c>
    </row>
    <row r="1886" spans="1:20" x14ac:dyDescent="0.25">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t="s">
        <v>47</v>
      </c>
      <c r="T1886" t="s">
        <v>253</v>
      </c>
    </row>
    <row r="1887" spans="1:20" x14ac:dyDescent="0.25">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t="s">
        <v>83</v>
      </c>
      <c r="T1887" t="s">
        <v>161</v>
      </c>
    </row>
    <row r="1888" spans="1:20" x14ac:dyDescent="0.25">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t="s">
        <v>83</v>
      </c>
      <c r="T1888" t="s">
        <v>161</v>
      </c>
    </row>
    <row r="1889" spans="1:20" x14ac:dyDescent="0.25">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t="s">
        <v>129</v>
      </c>
      <c r="T1889" t="s">
        <v>113</v>
      </c>
    </row>
    <row r="1890" spans="1:20" x14ac:dyDescent="0.25">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t="s">
        <v>83</v>
      </c>
      <c r="T1890" t="s">
        <v>48</v>
      </c>
    </row>
    <row r="1891" spans="1:20" x14ac:dyDescent="0.25">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t="s">
        <v>83</v>
      </c>
      <c r="T1891" t="s">
        <v>169</v>
      </c>
    </row>
    <row r="1892" spans="1:20" x14ac:dyDescent="0.25">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t="s">
        <v>83</v>
      </c>
      <c r="T1892" t="s">
        <v>113</v>
      </c>
    </row>
    <row r="1893" spans="1:20" x14ac:dyDescent="0.25">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t="s">
        <v>83</v>
      </c>
      <c r="T1893" t="s">
        <v>113</v>
      </c>
    </row>
    <row r="1894" spans="1:20" x14ac:dyDescent="0.25">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t="s">
        <v>129</v>
      </c>
      <c r="T1894" t="s">
        <v>96</v>
      </c>
    </row>
    <row r="1895" spans="1:20" x14ac:dyDescent="0.25">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t="s">
        <v>58</v>
      </c>
      <c r="T1895" t="s">
        <v>195</v>
      </c>
    </row>
    <row r="1896" spans="1:20" x14ac:dyDescent="0.25">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t="s">
        <v>129</v>
      </c>
      <c r="T1896" t="s">
        <v>48</v>
      </c>
    </row>
    <row r="1897" spans="1:20" x14ac:dyDescent="0.25">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t="s">
        <v>129</v>
      </c>
      <c r="T1897" t="s">
        <v>96</v>
      </c>
    </row>
    <row r="1898" spans="1:20" x14ac:dyDescent="0.25">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t="s">
        <v>70</v>
      </c>
      <c r="T1898" t="s">
        <v>253</v>
      </c>
    </row>
    <row r="1899" spans="1:20" x14ac:dyDescent="0.25">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t="s">
        <v>33</v>
      </c>
      <c r="T1899" t="s">
        <v>96</v>
      </c>
    </row>
    <row r="1900" spans="1:20" x14ac:dyDescent="0.25">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t="s">
        <v>58</v>
      </c>
      <c r="T1900" t="s">
        <v>34</v>
      </c>
    </row>
    <row r="1901" spans="1:20" x14ac:dyDescent="0.25">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t="s">
        <v>70</v>
      </c>
      <c r="T1901" t="s">
        <v>34</v>
      </c>
    </row>
    <row r="1902" spans="1:20" x14ac:dyDescent="0.25">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t="s">
        <v>70</v>
      </c>
      <c r="T1902" t="s">
        <v>34</v>
      </c>
    </row>
    <row r="1903" spans="1:20" x14ac:dyDescent="0.25">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t="s">
        <v>83</v>
      </c>
      <c r="T1903" t="s">
        <v>34</v>
      </c>
    </row>
    <row r="1904" spans="1:20" x14ac:dyDescent="0.25">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t="s">
        <v>83</v>
      </c>
      <c r="T1904" t="s">
        <v>195</v>
      </c>
    </row>
    <row r="1905" spans="1:20" x14ac:dyDescent="0.25">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t="s">
        <v>70</v>
      </c>
      <c r="T1905" t="s">
        <v>113</v>
      </c>
    </row>
    <row r="1906" spans="1:20" x14ac:dyDescent="0.25">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t="s">
        <v>33</v>
      </c>
      <c r="T1906" t="s">
        <v>34</v>
      </c>
    </row>
    <row r="1907" spans="1:20" x14ac:dyDescent="0.25">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t="s">
        <v>129</v>
      </c>
      <c r="T1907" t="s">
        <v>195</v>
      </c>
    </row>
    <row r="1908" spans="1:20" x14ac:dyDescent="0.25">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t="s">
        <v>129</v>
      </c>
      <c r="T1908" t="s">
        <v>195</v>
      </c>
    </row>
    <row r="1909" spans="1:20" x14ac:dyDescent="0.25">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t="s">
        <v>83</v>
      </c>
      <c r="T1909" t="s">
        <v>96</v>
      </c>
    </row>
    <row r="1910" spans="1:20" x14ac:dyDescent="0.25">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t="s">
        <v>129</v>
      </c>
      <c r="T1910" t="s">
        <v>96</v>
      </c>
    </row>
    <row r="1911" spans="1:20" x14ac:dyDescent="0.25">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t="s">
        <v>58</v>
      </c>
      <c r="T1911" t="s">
        <v>48</v>
      </c>
    </row>
    <row r="1912" spans="1:20" x14ac:dyDescent="0.25">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t="s">
        <v>83</v>
      </c>
      <c r="T1912" t="s">
        <v>161</v>
      </c>
    </row>
    <row r="1913" spans="1:20" x14ac:dyDescent="0.25">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t="s">
        <v>430</v>
      </c>
      <c r="T1913" t="s">
        <v>34</v>
      </c>
    </row>
    <row r="1914" spans="1:20" x14ac:dyDescent="0.25">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t="s">
        <v>123</v>
      </c>
      <c r="T1914" t="s">
        <v>297</v>
      </c>
    </row>
    <row r="1915" spans="1:20" x14ac:dyDescent="0.25">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t="s">
        <v>70</v>
      </c>
      <c r="T1915" t="s">
        <v>96</v>
      </c>
    </row>
    <row r="1916" spans="1:20" x14ac:dyDescent="0.25">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t="s">
        <v>123</v>
      </c>
      <c r="T1916" t="s">
        <v>253</v>
      </c>
    </row>
    <row r="1917" spans="1:20" x14ac:dyDescent="0.25">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t="s">
        <v>33</v>
      </c>
      <c r="T1917" t="s">
        <v>59</v>
      </c>
    </row>
    <row r="1918" spans="1:20" x14ac:dyDescent="0.25">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t="s">
        <v>129</v>
      </c>
      <c r="T1918" t="s">
        <v>59</v>
      </c>
    </row>
    <row r="1919" spans="1:20" x14ac:dyDescent="0.25">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t="s">
        <v>58</v>
      </c>
      <c r="T1919" t="s">
        <v>77</v>
      </c>
    </row>
    <row r="1920" spans="1:20" x14ac:dyDescent="0.25">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t="s">
        <v>58</v>
      </c>
      <c r="T1920" t="s">
        <v>77</v>
      </c>
    </row>
    <row r="1921" spans="1:20" x14ac:dyDescent="0.25">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t="s">
        <v>430</v>
      </c>
      <c r="T1921" t="s">
        <v>77</v>
      </c>
    </row>
    <row r="1922" spans="1:20" x14ac:dyDescent="0.25">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t="s">
        <v>83</v>
      </c>
      <c r="T1922" t="s">
        <v>59</v>
      </c>
    </row>
    <row r="1923" spans="1:20" x14ac:dyDescent="0.25">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t="s">
        <v>58</v>
      </c>
      <c r="T1923" t="s">
        <v>77</v>
      </c>
    </row>
    <row r="1924" spans="1:20" x14ac:dyDescent="0.25">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t="s">
        <v>58</v>
      </c>
      <c r="T1924" t="s">
        <v>77</v>
      </c>
    </row>
    <row r="1925" spans="1:20" x14ac:dyDescent="0.25">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t="s">
        <v>70</v>
      </c>
      <c r="T1925" t="s">
        <v>34</v>
      </c>
    </row>
    <row r="1926" spans="1:20" x14ac:dyDescent="0.25">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t="s">
        <v>83</v>
      </c>
      <c r="T1926" t="s">
        <v>48</v>
      </c>
    </row>
    <row r="1927" spans="1:20" x14ac:dyDescent="0.25">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t="s">
        <v>83</v>
      </c>
      <c r="T1927" t="s">
        <v>48</v>
      </c>
    </row>
    <row r="1928" spans="1:20" x14ac:dyDescent="0.25">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t="s">
        <v>83</v>
      </c>
      <c r="T1928" t="s">
        <v>59</v>
      </c>
    </row>
    <row r="1929" spans="1:20" x14ac:dyDescent="0.25">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t="s">
        <v>33</v>
      </c>
      <c r="T1929" t="s">
        <v>77</v>
      </c>
    </row>
    <row r="1930" spans="1:20" x14ac:dyDescent="0.25">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t="s">
        <v>123</v>
      </c>
      <c r="T1930" t="s">
        <v>96</v>
      </c>
    </row>
    <row r="1931" spans="1:20" x14ac:dyDescent="0.25">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t="s">
        <v>47</v>
      </c>
      <c r="T1931" t="s">
        <v>297</v>
      </c>
    </row>
    <row r="1932" spans="1:20" x14ac:dyDescent="0.25">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t="s">
        <v>83</v>
      </c>
      <c r="T1932" t="s">
        <v>77</v>
      </c>
    </row>
    <row r="1933" spans="1:20" x14ac:dyDescent="0.25">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t="s">
        <v>58</v>
      </c>
      <c r="T1933" t="s">
        <v>59</v>
      </c>
    </row>
    <row r="1934" spans="1:20" x14ac:dyDescent="0.25">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t="s">
        <v>58</v>
      </c>
      <c r="T1934" t="s">
        <v>34</v>
      </c>
    </row>
    <row r="1935" spans="1:20" x14ac:dyDescent="0.25">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t="s">
        <v>58</v>
      </c>
      <c r="T1935" t="s">
        <v>169</v>
      </c>
    </row>
    <row r="1936" spans="1:20" x14ac:dyDescent="0.25">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t="s">
        <v>58</v>
      </c>
      <c r="T1936" t="s">
        <v>169</v>
      </c>
    </row>
    <row r="1937" spans="1:20" x14ac:dyDescent="0.25">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t="s">
        <v>70</v>
      </c>
      <c r="T1937" t="s">
        <v>253</v>
      </c>
    </row>
    <row r="1938" spans="1:20" x14ac:dyDescent="0.25">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t="s">
        <v>70</v>
      </c>
      <c r="T1938" t="s">
        <v>253</v>
      </c>
    </row>
    <row r="1939" spans="1:20" x14ac:dyDescent="0.25">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t="s">
        <v>70</v>
      </c>
      <c r="T1939" t="s">
        <v>195</v>
      </c>
    </row>
    <row r="1940" spans="1:20" x14ac:dyDescent="0.25">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t="s">
        <v>83</v>
      </c>
      <c r="T1940" t="s">
        <v>161</v>
      </c>
    </row>
    <row r="1941" spans="1:20" x14ac:dyDescent="0.25">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t="s">
        <v>70</v>
      </c>
      <c r="T1941" t="s">
        <v>253</v>
      </c>
    </row>
    <row r="1942" spans="1:20" x14ac:dyDescent="0.25">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t="s">
        <v>83</v>
      </c>
      <c r="T1942" t="s">
        <v>96</v>
      </c>
    </row>
    <row r="1943" spans="1:20" x14ac:dyDescent="0.25">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t="s">
        <v>83</v>
      </c>
      <c r="T1943" t="s">
        <v>96</v>
      </c>
    </row>
    <row r="1944" spans="1:20" x14ac:dyDescent="0.25">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t="s">
        <v>430</v>
      </c>
      <c r="T1944" t="s">
        <v>96</v>
      </c>
    </row>
    <row r="1945" spans="1:20" x14ac:dyDescent="0.25">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t="s">
        <v>83</v>
      </c>
      <c r="T1945" t="s">
        <v>253</v>
      </c>
    </row>
    <row r="1946" spans="1:20" x14ac:dyDescent="0.25">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t="s">
        <v>83</v>
      </c>
      <c r="T1946" t="s">
        <v>253</v>
      </c>
    </row>
    <row r="1947" spans="1:20" x14ac:dyDescent="0.25">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t="s">
        <v>58</v>
      </c>
      <c r="T1947" t="s">
        <v>161</v>
      </c>
    </row>
    <row r="1948" spans="1:20" x14ac:dyDescent="0.25">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t="s">
        <v>33</v>
      </c>
      <c r="T1948" t="s">
        <v>48</v>
      </c>
    </row>
    <row r="1949" spans="1:20" x14ac:dyDescent="0.25">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t="s">
        <v>47</v>
      </c>
      <c r="T1949" t="s">
        <v>96</v>
      </c>
    </row>
    <row r="1950" spans="1:20" x14ac:dyDescent="0.25">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t="s">
        <v>47</v>
      </c>
      <c r="T1950" t="s">
        <v>96</v>
      </c>
    </row>
    <row r="1951" spans="1:20" x14ac:dyDescent="0.25">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t="s">
        <v>83</v>
      </c>
      <c r="T1951" t="s">
        <v>253</v>
      </c>
    </row>
    <row r="1952" spans="1:20" x14ac:dyDescent="0.25">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t="s">
        <v>123</v>
      </c>
      <c r="T1952" t="s">
        <v>48</v>
      </c>
    </row>
    <row r="1953" spans="1:20" x14ac:dyDescent="0.25">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t="s">
        <v>83</v>
      </c>
      <c r="T1953" t="s">
        <v>77</v>
      </c>
    </row>
    <row r="1954" spans="1:20" x14ac:dyDescent="0.25">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t="s">
        <v>83</v>
      </c>
      <c r="T1954" t="s">
        <v>77</v>
      </c>
    </row>
    <row r="1955" spans="1:20" x14ac:dyDescent="0.25">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t="s">
        <v>33</v>
      </c>
      <c r="T1955" t="s">
        <v>297</v>
      </c>
    </row>
    <row r="1956" spans="1:20" x14ac:dyDescent="0.25">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t="s">
        <v>58</v>
      </c>
      <c r="T1956" t="s">
        <v>71</v>
      </c>
    </row>
    <row r="1957" spans="1:20" x14ac:dyDescent="0.25">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t="s">
        <v>83</v>
      </c>
      <c r="T1957" t="s">
        <v>297</v>
      </c>
    </row>
    <row r="1958" spans="1:20" x14ac:dyDescent="0.25">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t="s">
        <v>83</v>
      </c>
      <c r="T1958" t="s">
        <v>297</v>
      </c>
    </row>
    <row r="1959" spans="1:20" x14ac:dyDescent="0.25">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t="s">
        <v>430</v>
      </c>
      <c r="T1959" t="s">
        <v>77</v>
      </c>
    </row>
    <row r="1960" spans="1:20" x14ac:dyDescent="0.25">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t="s">
        <v>83</v>
      </c>
      <c r="T1960" t="s">
        <v>48</v>
      </c>
    </row>
    <row r="1961" spans="1:20" x14ac:dyDescent="0.25">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t="s">
        <v>123</v>
      </c>
      <c r="T1961" t="s">
        <v>297</v>
      </c>
    </row>
    <row r="1962" spans="1:20" x14ac:dyDescent="0.25">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t="s">
        <v>430</v>
      </c>
      <c r="T1962" t="s">
        <v>77</v>
      </c>
    </row>
    <row r="1963" spans="1:20" x14ac:dyDescent="0.25">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t="s">
        <v>58</v>
      </c>
      <c r="T1963" t="s">
        <v>161</v>
      </c>
    </row>
    <row r="1964" spans="1:20" x14ac:dyDescent="0.25">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t="s">
        <v>83</v>
      </c>
      <c r="T1964" t="s">
        <v>96</v>
      </c>
    </row>
    <row r="1965" spans="1:20" x14ac:dyDescent="0.25">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t="s">
        <v>83</v>
      </c>
      <c r="T1965" t="s">
        <v>77</v>
      </c>
    </row>
    <row r="1966" spans="1:20" x14ac:dyDescent="0.25">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t="s">
        <v>58</v>
      </c>
      <c r="T1966" t="s">
        <v>34</v>
      </c>
    </row>
    <row r="1967" spans="1:20" x14ac:dyDescent="0.25">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t="s">
        <v>33</v>
      </c>
      <c r="T1967" t="s">
        <v>34</v>
      </c>
    </row>
    <row r="1968" spans="1:20" x14ac:dyDescent="0.25">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t="s">
        <v>47</v>
      </c>
      <c r="T1968" t="s">
        <v>59</v>
      </c>
    </row>
    <row r="1969" spans="1:20" x14ac:dyDescent="0.25">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t="s">
        <v>33</v>
      </c>
      <c r="T1969" t="s">
        <v>34</v>
      </c>
    </row>
    <row r="1970" spans="1:20" x14ac:dyDescent="0.25">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t="s">
        <v>83</v>
      </c>
      <c r="T1970" t="s">
        <v>161</v>
      </c>
    </row>
    <row r="1971" spans="1:20" x14ac:dyDescent="0.25">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t="s">
        <v>83</v>
      </c>
      <c r="T1971" t="s">
        <v>113</v>
      </c>
    </row>
    <row r="1972" spans="1:20" x14ac:dyDescent="0.25">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t="s">
        <v>58</v>
      </c>
      <c r="T1972" t="s">
        <v>71</v>
      </c>
    </row>
    <row r="1973" spans="1:20" x14ac:dyDescent="0.25">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t="s">
        <v>58</v>
      </c>
      <c r="T1973" t="s">
        <v>71</v>
      </c>
    </row>
    <row r="1974" spans="1:20" x14ac:dyDescent="0.25">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t="s">
        <v>83</v>
      </c>
      <c r="T1974" t="s">
        <v>34</v>
      </c>
    </row>
    <row r="1975" spans="1:20" x14ac:dyDescent="0.25">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t="s">
        <v>83</v>
      </c>
      <c r="T1975" t="s">
        <v>34</v>
      </c>
    </row>
    <row r="1976" spans="1:20" x14ac:dyDescent="0.25">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t="s">
        <v>129</v>
      </c>
      <c r="T1976" t="s">
        <v>77</v>
      </c>
    </row>
    <row r="1977" spans="1:20" x14ac:dyDescent="0.25">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t="s">
        <v>33</v>
      </c>
      <c r="T1977" t="s">
        <v>77</v>
      </c>
    </row>
    <row r="1978" spans="1:20" x14ac:dyDescent="0.25">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t="s">
        <v>123</v>
      </c>
      <c r="T1978" t="s">
        <v>161</v>
      </c>
    </row>
    <row r="1979" spans="1:20" x14ac:dyDescent="0.25">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t="s">
        <v>33</v>
      </c>
      <c r="T1979" t="s">
        <v>297</v>
      </c>
    </row>
    <row r="1980" spans="1:20" x14ac:dyDescent="0.25">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t="s">
        <v>33</v>
      </c>
      <c r="T1980" t="s">
        <v>297</v>
      </c>
    </row>
    <row r="1981" spans="1:20" x14ac:dyDescent="0.25">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t="s">
        <v>33</v>
      </c>
      <c r="T1981" t="s">
        <v>297</v>
      </c>
    </row>
    <row r="1982" spans="1:20" x14ac:dyDescent="0.25">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t="s">
        <v>129</v>
      </c>
      <c r="T1982" t="s">
        <v>96</v>
      </c>
    </row>
    <row r="1983" spans="1:20" x14ac:dyDescent="0.25">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t="s">
        <v>129</v>
      </c>
      <c r="T1983" t="s">
        <v>96</v>
      </c>
    </row>
    <row r="1984" spans="1:20" x14ac:dyDescent="0.25">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t="s">
        <v>83</v>
      </c>
      <c r="T1984" t="s">
        <v>77</v>
      </c>
    </row>
    <row r="1985" spans="1:20" x14ac:dyDescent="0.25">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t="s">
        <v>70</v>
      </c>
      <c r="T1985" t="s">
        <v>77</v>
      </c>
    </row>
    <row r="1986" spans="1:20" x14ac:dyDescent="0.25">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t="s">
        <v>33</v>
      </c>
      <c r="T1986" t="s">
        <v>169</v>
      </c>
    </row>
    <row r="1987" spans="1:20" x14ac:dyDescent="0.25">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t="s">
        <v>33</v>
      </c>
      <c r="T1987" t="s">
        <v>169</v>
      </c>
    </row>
    <row r="1988" spans="1:20" x14ac:dyDescent="0.25">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t="s">
        <v>83</v>
      </c>
      <c r="T1988" t="s">
        <v>195</v>
      </c>
    </row>
    <row r="1989" spans="1:20" x14ac:dyDescent="0.25">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t="s">
        <v>70</v>
      </c>
      <c r="T1989" t="s">
        <v>34</v>
      </c>
    </row>
    <row r="1990" spans="1:20" x14ac:dyDescent="0.25">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t="s">
        <v>70</v>
      </c>
      <c r="T1990" t="s">
        <v>161</v>
      </c>
    </row>
    <row r="1991" spans="1:20" x14ac:dyDescent="0.25">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t="s">
        <v>70</v>
      </c>
      <c r="T1991" t="s">
        <v>161</v>
      </c>
    </row>
    <row r="1992" spans="1:20" x14ac:dyDescent="0.25">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t="s">
        <v>83</v>
      </c>
      <c r="T1992" t="s">
        <v>96</v>
      </c>
    </row>
    <row r="1993" spans="1:20" x14ac:dyDescent="0.25">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t="s">
        <v>83</v>
      </c>
      <c r="T1993" t="s">
        <v>253</v>
      </c>
    </row>
    <row r="1994" spans="1:20" x14ac:dyDescent="0.25">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t="s">
        <v>430</v>
      </c>
      <c r="T1994" t="s">
        <v>48</v>
      </c>
    </row>
    <row r="1995" spans="1:20" x14ac:dyDescent="0.25">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t="s">
        <v>33</v>
      </c>
      <c r="T1995" t="s">
        <v>77</v>
      </c>
    </row>
    <row r="1996" spans="1:20" x14ac:dyDescent="0.25">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t="s">
        <v>33</v>
      </c>
      <c r="T1996" t="s">
        <v>77</v>
      </c>
    </row>
    <row r="1997" spans="1:20" x14ac:dyDescent="0.25">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t="s">
        <v>83</v>
      </c>
      <c r="T1997" t="s">
        <v>59</v>
      </c>
    </row>
    <row r="1998" spans="1:20" x14ac:dyDescent="0.25">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t="s">
        <v>58</v>
      </c>
      <c r="T1998" t="s">
        <v>253</v>
      </c>
    </row>
    <row r="1999" spans="1:20" x14ac:dyDescent="0.25">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t="s">
        <v>70</v>
      </c>
      <c r="T1999" t="s">
        <v>77</v>
      </c>
    </row>
    <row r="2000" spans="1:20" x14ac:dyDescent="0.25">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t="s">
        <v>33</v>
      </c>
      <c r="T2000" t="s">
        <v>96</v>
      </c>
    </row>
    <row r="2001" spans="1:20" x14ac:dyDescent="0.25">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t="s">
        <v>70</v>
      </c>
      <c r="T2001" t="s">
        <v>169</v>
      </c>
    </row>
    <row r="2002" spans="1:20" x14ac:dyDescent="0.25">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t="s">
        <v>83</v>
      </c>
      <c r="T2002" t="s">
        <v>48</v>
      </c>
    </row>
    <row r="2003" spans="1:20" x14ac:dyDescent="0.25">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t="s">
        <v>58</v>
      </c>
      <c r="T2003" t="s">
        <v>77</v>
      </c>
    </row>
    <row r="2004" spans="1:20" x14ac:dyDescent="0.25">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t="s">
        <v>83</v>
      </c>
      <c r="T2004" t="s">
        <v>34</v>
      </c>
    </row>
    <row r="2005" spans="1:20" x14ac:dyDescent="0.25">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t="s">
        <v>58</v>
      </c>
      <c r="T2005" t="s">
        <v>161</v>
      </c>
    </row>
    <row r="2006" spans="1:20" x14ac:dyDescent="0.25">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t="s">
        <v>83</v>
      </c>
      <c r="T2006" t="s">
        <v>253</v>
      </c>
    </row>
    <row r="2007" spans="1:20" x14ac:dyDescent="0.25">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t="s">
        <v>47</v>
      </c>
      <c r="T2007" t="s">
        <v>161</v>
      </c>
    </row>
    <row r="2008" spans="1:20" x14ac:dyDescent="0.25">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t="s">
        <v>58</v>
      </c>
      <c r="T2008" t="s">
        <v>34</v>
      </c>
    </row>
    <row r="2009" spans="1:20" x14ac:dyDescent="0.25">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t="s">
        <v>83</v>
      </c>
      <c r="T2009" t="s">
        <v>34</v>
      </c>
    </row>
    <row r="2010" spans="1:20" x14ac:dyDescent="0.25">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t="s">
        <v>58</v>
      </c>
      <c r="T2010" t="s">
        <v>34</v>
      </c>
    </row>
    <row r="2011" spans="1:20" x14ac:dyDescent="0.25">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t="s">
        <v>58</v>
      </c>
      <c r="T2011" t="s">
        <v>34</v>
      </c>
    </row>
    <row r="2012" spans="1:20" x14ac:dyDescent="0.25">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t="s">
        <v>58</v>
      </c>
      <c r="T2012" t="s">
        <v>34</v>
      </c>
    </row>
    <row r="2013" spans="1:20" x14ac:dyDescent="0.25">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t="s">
        <v>58</v>
      </c>
      <c r="T2013" t="s">
        <v>161</v>
      </c>
    </row>
    <row r="2014" spans="1:20" x14ac:dyDescent="0.25">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t="s">
        <v>70</v>
      </c>
      <c r="T2014" t="s">
        <v>96</v>
      </c>
    </row>
    <row r="2015" spans="1:20" x14ac:dyDescent="0.25">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t="s">
        <v>430</v>
      </c>
      <c r="T2015" t="s">
        <v>48</v>
      </c>
    </row>
    <row r="2016" spans="1:20" x14ac:dyDescent="0.25">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t="s">
        <v>58</v>
      </c>
      <c r="T2016" t="s">
        <v>169</v>
      </c>
    </row>
    <row r="2017" spans="1:20" x14ac:dyDescent="0.25">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t="s">
        <v>83</v>
      </c>
      <c r="T2017" t="s">
        <v>161</v>
      </c>
    </row>
    <row r="2018" spans="1:20" x14ac:dyDescent="0.25">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t="s">
        <v>83</v>
      </c>
      <c r="T2018" t="s">
        <v>34</v>
      </c>
    </row>
    <row r="2019" spans="1:20" x14ac:dyDescent="0.25">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t="s">
        <v>83</v>
      </c>
      <c r="T2019" t="s">
        <v>161</v>
      </c>
    </row>
    <row r="2020" spans="1:20" x14ac:dyDescent="0.25">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t="s">
        <v>123</v>
      </c>
      <c r="T2020" t="s">
        <v>96</v>
      </c>
    </row>
    <row r="2021" spans="1:20" x14ac:dyDescent="0.25">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t="s">
        <v>83</v>
      </c>
      <c r="T2021" t="s">
        <v>48</v>
      </c>
    </row>
    <row r="2022" spans="1:20" x14ac:dyDescent="0.25">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t="s">
        <v>70</v>
      </c>
      <c r="T2022" t="s">
        <v>59</v>
      </c>
    </row>
    <row r="2023" spans="1:20" x14ac:dyDescent="0.25">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t="s">
        <v>70</v>
      </c>
      <c r="T2023" t="s">
        <v>77</v>
      </c>
    </row>
    <row r="2024" spans="1:20" x14ac:dyDescent="0.25">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t="s">
        <v>58</v>
      </c>
      <c r="T2024" t="s">
        <v>161</v>
      </c>
    </row>
    <row r="2025" spans="1:20" x14ac:dyDescent="0.25">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t="s">
        <v>83</v>
      </c>
      <c r="T2025" t="s">
        <v>253</v>
      </c>
    </row>
    <row r="2026" spans="1:20" x14ac:dyDescent="0.25">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t="s">
        <v>58</v>
      </c>
      <c r="T2026" t="s">
        <v>77</v>
      </c>
    </row>
    <row r="2027" spans="1:20" x14ac:dyDescent="0.25">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t="s">
        <v>83</v>
      </c>
      <c r="T2027" t="s">
        <v>34</v>
      </c>
    </row>
    <row r="2028" spans="1:20" x14ac:dyDescent="0.25">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t="s">
        <v>70</v>
      </c>
      <c r="T2028" t="s">
        <v>48</v>
      </c>
    </row>
    <row r="2029" spans="1:20" x14ac:dyDescent="0.25">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t="s">
        <v>70</v>
      </c>
      <c r="T2029" t="s">
        <v>161</v>
      </c>
    </row>
    <row r="2030" spans="1:20" x14ac:dyDescent="0.25">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t="s">
        <v>430</v>
      </c>
      <c r="T2030" t="s">
        <v>195</v>
      </c>
    </row>
    <row r="2031" spans="1:20" x14ac:dyDescent="0.25">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t="s">
        <v>430</v>
      </c>
      <c r="T2031" t="s">
        <v>253</v>
      </c>
    </row>
    <row r="2032" spans="1:20" x14ac:dyDescent="0.25">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t="s">
        <v>70</v>
      </c>
      <c r="T2032" t="s">
        <v>161</v>
      </c>
    </row>
    <row r="2033" spans="1:20" x14ac:dyDescent="0.25">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t="s">
        <v>70</v>
      </c>
      <c r="T2033" t="s">
        <v>161</v>
      </c>
    </row>
    <row r="2034" spans="1:20" x14ac:dyDescent="0.25">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t="s">
        <v>70</v>
      </c>
      <c r="T2034" t="s">
        <v>77</v>
      </c>
    </row>
    <row r="2035" spans="1:20" x14ac:dyDescent="0.25">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t="s">
        <v>70</v>
      </c>
      <c r="T2035" t="s">
        <v>59</v>
      </c>
    </row>
    <row r="2036" spans="1:20" x14ac:dyDescent="0.25">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t="s">
        <v>83</v>
      </c>
      <c r="T2036" t="s">
        <v>71</v>
      </c>
    </row>
    <row r="2037" spans="1:20" x14ac:dyDescent="0.25">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t="s">
        <v>83</v>
      </c>
      <c r="T2037" t="s">
        <v>71</v>
      </c>
    </row>
    <row r="2038" spans="1:20" x14ac:dyDescent="0.25">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t="s">
        <v>83</v>
      </c>
      <c r="T2038" t="s">
        <v>77</v>
      </c>
    </row>
    <row r="2039" spans="1:20" x14ac:dyDescent="0.25">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t="s">
        <v>129</v>
      </c>
      <c r="T2039" t="s">
        <v>59</v>
      </c>
    </row>
    <row r="2040" spans="1:20" x14ac:dyDescent="0.25">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t="s">
        <v>33</v>
      </c>
      <c r="T2040" t="s">
        <v>161</v>
      </c>
    </row>
    <row r="2041" spans="1:20" x14ac:dyDescent="0.25">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t="s">
        <v>123</v>
      </c>
      <c r="T2041" t="s">
        <v>59</v>
      </c>
    </row>
    <row r="2042" spans="1:20" x14ac:dyDescent="0.25">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t="s">
        <v>123</v>
      </c>
      <c r="T2042" t="s">
        <v>59</v>
      </c>
    </row>
    <row r="2043" spans="1:20" x14ac:dyDescent="0.25">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t="s">
        <v>33</v>
      </c>
      <c r="T2043" t="s">
        <v>48</v>
      </c>
    </row>
    <row r="2044" spans="1:20" x14ac:dyDescent="0.25">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t="s">
        <v>47</v>
      </c>
      <c r="T2044" t="s">
        <v>34</v>
      </c>
    </row>
    <row r="2045" spans="1:20" x14ac:dyDescent="0.25">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t="s">
        <v>47</v>
      </c>
      <c r="T2045" t="s">
        <v>34</v>
      </c>
    </row>
    <row r="2046" spans="1:20" x14ac:dyDescent="0.25">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t="s">
        <v>33</v>
      </c>
      <c r="T2046" t="s">
        <v>169</v>
      </c>
    </row>
    <row r="2047" spans="1:20" x14ac:dyDescent="0.25">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t="s">
        <v>58</v>
      </c>
      <c r="T2047" t="s">
        <v>195</v>
      </c>
    </row>
    <row r="2048" spans="1:20" x14ac:dyDescent="0.25">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t="s">
        <v>58</v>
      </c>
      <c r="T2048" t="s">
        <v>195</v>
      </c>
    </row>
    <row r="2049" spans="1:20" x14ac:dyDescent="0.25">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t="s">
        <v>83</v>
      </c>
      <c r="T2049" t="s">
        <v>34</v>
      </c>
    </row>
    <row r="2050" spans="1:20" x14ac:dyDescent="0.25">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t="s">
        <v>83</v>
      </c>
      <c r="T2050" t="s">
        <v>34</v>
      </c>
    </row>
    <row r="2051" spans="1:20" x14ac:dyDescent="0.25">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t="s">
        <v>47</v>
      </c>
      <c r="T2051" t="s">
        <v>77</v>
      </c>
    </row>
    <row r="2052" spans="1:20" x14ac:dyDescent="0.25">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t="s">
        <v>47</v>
      </c>
      <c r="T2052" t="s">
        <v>77</v>
      </c>
    </row>
    <row r="2053" spans="1:20" x14ac:dyDescent="0.25">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t="s">
        <v>83</v>
      </c>
      <c r="T2053" t="s">
        <v>34</v>
      </c>
    </row>
    <row r="2054" spans="1:20" x14ac:dyDescent="0.25">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t="s">
        <v>83</v>
      </c>
      <c r="T2054" t="s">
        <v>34</v>
      </c>
    </row>
    <row r="2055" spans="1:20" x14ac:dyDescent="0.25">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t="s">
        <v>83</v>
      </c>
      <c r="T2055" t="s">
        <v>161</v>
      </c>
    </row>
    <row r="2056" spans="1:20" x14ac:dyDescent="0.25">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t="s">
        <v>58</v>
      </c>
      <c r="T2056" t="s">
        <v>96</v>
      </c>
    </row>
    <row r="2057" spans="1:20" x14ac:dyDescent="0.25">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t="s">
        <v>83</v>
      </c>
      <c r="T2057" t="s">
        <v>34</v>
      </c>
    </row>
    <row r="2058" spans="1:20" x14ac:dyDescent="0.25">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t="s">
        <v>430</v>
      </c>
      <c r="T2058" t="s">
        <v>195</v>
      </c>
    </row>
    <row r="2059" spans="1:20" x14ac:dyDescent="0.25">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t="s">
        <v>129</v>
      </c>
      <c r="T2059" t="s">
        <v>48</v>
      </c>
    </row>
    <row r="2060" spans="1:20" x14ac:dyDescent="0.25">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t="s">
        <v>129</v>
      </c>
      <c r="T2060" t="s">
        <v>48</v>
      </c>
    </row>
    <row r="2061" spans="1:20" x14ac:dyDescent="0.25">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t="s">
        <v>58</v>
      </c>
      <c r="T2061" t="s">
        <v>34</v>
      </c>
    </row>
    <row r="2062" spans="1:20" x14ac:dyDescent="0.25">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t="s">
        <v>83</v>
      </c>
      <c r="T2062" t="s">
        <v>77</v>
      </c>
    </row>
    <row r="2063" spans="1:20" x14ac:dyDescent="0.25">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t="s">
        <v>83</v>
      </c>
      <c r="T2063" t="s">
        <v>297</v>
      </c>
    </row>
    <row r="2064" spans="1:20" x14ac:dyDescent="0.25">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t="s">
        <v>58</v>
      </c>
      <c r="T2064" t="s">
        <v>253</v>
      </c>
    </row>
    <row r="2065" spans="1:20" x14ac:dyDescent="0.25">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t="s">
        <v>83</v>
      </c>
      <c r="T2065" t="s">
        <v>34</v>
      </c>
    </row>
    <row r="2066" spans="1:20" x14ac:dyDescent="0.25">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t="s">
        <v>430</v>
      </c>
      <c r="T2066" t="s">
        <v>34</v>
      </c>
    </row>
    <row r="2067" spans="1:20" x14ac:dyDescent="0.25">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t="s">
        <v>430</v>
      </c>
      <c r="T2067" t="s">
        <v>34</v>
      </c>
    </row>
    <row r="2068" spans="1:20" x14ac:dyDescent="0.25">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t="s">
        <v>83</v>
      </c>
      <c r="T2068" t="s">
        <v>34</v>
      </c>
    </row>
    <row r="2069" spans="1:20" x14ac:dyDescent="0.25">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t="s">
        <v>83</v>
      </c>
      <c r="T2069" t="s">
        <v>34</v>
      </c>
    </row>
    <row r="2070" spans="1:20" x14ac:dyDescent="0.25">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t="s">
        <v>70</v>
      </c>
      <c r="T2070" t="s">
        <v>195</v>
      </c>
    </row>
    <row r="2071" spans="1:20" x14ac:dyDescent="0.25">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t="s">
        <v>58</v>
      </c>
      <c r="T2071" t="s">
        <v>48</v>
      </c>
    </row>
    <row r="2072" spans="1:20" x14ac:dyDescent="0.25">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t="s">
        <v>129</v>
      </c>
      <c r="T2072" t="s">
        <v>34</v>
      </c>
    </row>
    <row r="2073" spans="1:20" x14ac:dyDescent="0.25">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t="s">
        <v>83</v>
      </c>
      <c r="T2073" t="s">
        <v>71</v>
      </c>
    </row>
    <row r="2074" spans="1:20" x14ac:dyDescent="0.25">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t="s">
        <v>70</v>
      </c>
      <c r="T2074" t="s">
        <v>161</v>
      </c>
    </row>
    <row r="2075" spans="1:20" x14ac:dyDescent="0.25">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t="s">
        <v>430</v>
      </c>
      <c r="T2075" t="s">
        <v>34</v>
      </c>
    </row>
    <row r="2076" spans="1:20" x14ac:dyDescent="0.25">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t="s">
        <v>58</v>
      </c>
      <c r="T2076" t="s">
        <v>195</v>
      </c>
    </row>
    <row r="2077" spans="1:20" x14ac:dyDescent="0.25">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t="s">
        <v>58</v>
      </c>
      <c r="T2077" t="s">
        <v>195</v>
      </c>
    </row>
    <row r="2078" spans="1:20" x14ac:dyDescent="0.25">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t="s">
        <v>58</v>
      </c>
      <c r="T2078" t="s">
        <v>195</v>
      </c>
    </row>
    <row r="2079" spans="1:20" x14ac:dyDescent="0.25">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t="s">
        <v>70</v>
      </c>
      <c r="T2079" t="s">
        <v>161</v>
      </c>
    </row>
    <row r="2080" spans="1:20" x14ac:dyDescent="0.25">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t="s">
        <v>70</v>
      </c>
      <c r="T2080" t="s">
        <v>71</v>
      </c>
    </row>
    <row r="2081" spans="1:20" x14ac:dyDescent="0.25">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t="s">
        <v>58</v>
      </c>
      <c r="T2081" t="s">
        <v>48</v>
      </c>
    </row>
    <row r="2082" spans="1:20" x14ac:dyDescent="0.25">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t="s">
        <v>58</v>
      </c>
      <c r="T2082" t="s">
        <v>71</v>
      </c>
    </row>
    <row r="2083" spans="1:20" x14ac:dyDescent="0.25">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t="s">
        <v>83</v>
      </c>
      <c r="T2083" t="s">
        <v>59</v>
      </c>
    </row>
    <row r="2084" spans="1:20" x14ac:dyDescent="0.25">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t="s">
        <v>83</v>
      </c>
      <c r="T2084" t="s">
        <v>253</v>
      </c>
    </row>
    <row r="2085" spans="1:20" x14ac:dyDescent="0.25">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t="s">
        <v>47</v>
      </c>
      <c r="T2085" t="s">
        <v>71</v>
      </c>
    </row>
    <row r="2086" spans="1:20" x14ac:dyDescent="0.25">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t="s">
        <v>70</v>
      </c>
      <c r="T2086" t="s">
        <v>96</v>
      </c>
    </row>
    <row r="2087" spans="1:20" x14ac:dyDescent="0.25">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t="s">
        <v>70</v>
      </c>
      <c r="T2087" t="s">
        <v>48</v>
      </c>
    </row>
    <row r="2088" spans="1:20" x14ac:dyDescent="0.25">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t="s">
        <v>129</v>
      </c>
      <c r="T2088" t="s">
        <v>77</v>
      </c>
    </row>
    <row r="2089" spans="1:20" x14ac:dyDescent="0.25">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t="s">
        <v>33</v>
      </c>
      <c r="T2089" t="s">
        <v>59</v>
      </c>
    </row>
    <row r="2090" spans="1:20" x14ac:dyDescent="0.25">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t="s">
        <v>70</v>
      </c>
      <c r="T2090" t="s">
        <v>77</v>
      </c>
    </row>
    <row r="2091" spans="1:20" x14ac:dyDescent="0.25">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t="s">
        <v>83</v>
      </c>
      <c r="T2091" t="s">
        <v>161</v>
      </c>
    </row>
    <row r="2092" spans="1:20" x14ac:dyDescent="0.25">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t="s">
        <v>83</v>
      </c>
      <c r="T2092" t="s">
        <v>161</v>
      </c>
    </row>
    <row r="2093" spans="1:20" x14ac:dyDescent="0.25">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t="s">
        <v>83</v>
      </c>
      <c r="T2093" t="s">
        <v>59</v>
      </c>
    </row>
    <row r="2094" spans="1:20" x14ac:dyDescent="0.25">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t="s">
        <v>83</v>
      </c>
      <c r="T2094" t="s">
        <v>195</v>
      </c>
    </row>
    <row r="2095" spans="1:20" x14ac:dyDescent="0.25">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t="s">
        <v>129</v>
      </c>
      <c r="T2095" t="s">
        <v>169</v>
      </c>
    </row>
    <row r="2096" spans="1:20" x14ac:dyDescent="0.25">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t="s">
        <v>70</v>
      </c>
      <c r="T2096" t="s">
        <v>34</v>
      </c>
    </row>
    <row r="2097" spans="1:20" x14ac:dyDescent="0.25">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t="s">
        <v>83</v>
      </c>
      <c r="T2097" t="s">
        <v>253</v>
      </c>
    </row>
    <row r="2098" spans="1:20" x14ac:dyDescent="0.25">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t="s">
        <v>33</v>
      </c>
      <c r="T2098" t="s">
        <v>71</v>
      </c>
    </row>
    <row r="2099" spans="1:20" x14ac:dyDescent="0.25">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t="s">
        <v>33</v>
      </c>
      <c r="T2099" t="s">
        <v>71</v>
      </c>
    </row>
    <row r="2100" spans="1:20" x14ac:dyDescent="0.25">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t="s">
        <v>83</v>
      </c>
      <c r="T2100" t="s">
        <v>59</v>
      </c>
    </row>
    <row r="2101" spans="1:20" x14ac:dyDescent="0.25">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t="s">
        <v>83</v>
      </c>
      <c r="T2101" t="s">
        <v>59</v>
      </c>
    </row>
    <row r="2102" spans="1:20" x14ac:dyDescent="0.25">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t="s">
        <v>129</v>
      </c>
      <c r="T2102" t="s">
        <v>195</v>
      </c>
    </row>
    <row r="2103" spans="1:20" x14ac:dyDescent="0.25">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t="s">
        <v>83</v>
      </c>
      <c r="T2103" t="s">
        <v>253</v>
      </c>
    </row>
    <row r="2104" spans="1:20" x14ac:dyDescent="0.25">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t="s">
        <v>129</v>
      </c>
      <c r="T2104" t="s">
        <v>34</v>
      </c>
    </row>
    <row r="2105" spans="1:20" x14ac:dyDescent="0.25">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t="s">
        <v>70</v>
      </c>
      <c r="T2105" t="s">
        <v>77</v>
      </c>
    </row>
    <row r="2106" spans="1:20" x14ac:dyDescent="0.25">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t="s">
        <v>70</v>
      </c>
      <c r="T2106" t="s">
        <v>77</v>
      </c>
    </row>
    <row r="2107" spans="1:20" x14ac:dyDescent="0.25">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t="s">
        <v>70</v>
      </c>
      <c r="T2107" t="s">
        <v>77</v>
      </c>
    </row>
    <row r="2108" spans="1:20" x14ac:dyDescent="0.25">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t="s">
        <v>70</v>
      </c>
      <c r="T2108" t="s">
        <v>77</v>
      </c>
    </row>
    <row r="2109" spans="1:20" x14ac:dyDescent="0.25">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t="s">
        <v>70</v>
      </c>
      <c r="T2109" t="s">
        <v>48</v>
      </c>
    </row>
    <row r="2110" spans="1:20" x14ac:dyDescent="0.25">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t="s">
        <v>70</v>
      </c>
      <c r="T2110" t="s">
        <v>169</v>
      </c>
    </row>
    <row r="2111" spans="1:20" x14ac:dyDescent="0.25">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t="s">
        <v>83</v>
      </c>
      <c r="T2111" t="s">
        <v>195</v>
      </c>
    </row>
    <row r="2112" spans="1:20" x14ac:dyDescent="0.25">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t="s">
        <v>430</v>
      </c>
      <c r="T2112" t="s">
        <v>77</v>
      </c>
    </row>
    <row r="2113" spans="1:20" x14ac:dyDescent="0.25">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t="s">
        <v>83</v>
      </c>
      <c r="T2113" t="s">
        <v>34</v>
      </c>
    </row>
    <row r="2114" spans="1:20" x14ac:dyDescent="0.25">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t="s">
        <v>33</v>
      </c>
      <c r="T2114" t="s">
        <v>59</v>
      </c>
    </row>
    <row r="2115" spans="1:20" x14ac:dyDescent="0.25">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t="s">
        <v>58</v>
      </c>
      <c r="T2115" t="s">
        <v>96</v>
      </c>
    </row>
    <row r="2116" spans="1:20" x14ac:dyDescent="0.25">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t="s">
        <v>70</v>
      </c>
      <c r="T2116" t="s">
        <v>59</v>
      </c>
    </row>
    <row r="2117" spans="1:20" x14ac:dyDescent="0.25">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t="s">
        <v>70</v>
      </c>
      <c r="T2117" t="s">
        <v>96</v>
      </c>
    </row>
    <row r="2118" spans="1:20" x14ac:dyDescent="0.25">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t="s">
        <v>33</v>
      </c>
      <c r="T2118" t="s">
        <v>195</v>
      </c>
    </row>
    <row r="2119" spans="1:20" x14ac:dyDescent="0.25">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t="s">
        <v>58</v>
      </c>
      <c r="T2119" t="s">
        <v>96</v>
      </c>
    </row>
    <row r="2120" spans="1:20" x14ac:dyDescent="0.25">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t="s">
        <v>33</v>
      </c>
      <c r="T2120" t="s">
        <v>77</v>
      </c>
    </row>
    <row r="2121" spans="1:20" x14ac:dyDescent="0.25">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t="s">
        <v>70</v>
      </c>
      <c r="T2121" t="s">
        <v>169</v>
      </c>
    </row>
    <row r="2122" spans="1:20" x14ac:dyDescent="0.25">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t="s">
        <v>58</v>
      </c>
      <c r="T2122" t="s">
        <v>297</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0C08-E481-408B-8D2A-DB12C0469525}">
  <dimension ref="A3:M85"/>
  <sheetViews>
    <sheetView topLeftCell="E36" zoomScale="94" workbookViewId="0">
      <selection activeCell="K41" sqref="K41"/>
    </sheetView>
  </sheetViews>
  <sheetFormatPr defaultRowHeight="15" x14ac:dyDescent="0.25"/>
  <cols>
    <col min="1" max="1" width="13.5703125" bestFit="1" customWidth="1"/>
    <col min="2" max="2" width="12.28515625" bestFit="1" customWidth="1"/>
    <col min="3" max="3" width="12.5703125" bestFit="1" customWidth="1"/>
    <col min="4" max="4" width="16" bestFit="1" customWidth="1"/>
    <col min="5" max="5" width="13.85546875" bestFit="1" customWidth="1"/>
    <col min="6" max="6" width="17" bestFit="1" customWidth="1"/>
    <col min="7" max="7" width="12.28515625" bestFit="1" customWidth="1"/>
    <col min="8" max="8" width="16.28515625" bestFit="1" customWidth="1"/>
    <col min="9" max="9" width="17.7109375" bestFit="1" customWidth="1"/>
    <col min="10" max="2667" width="16.28515625" bestFit="1" customWidth="1"/>
    <col min="2668" max="2668" width="17.28515625" bestFit="1" customWidth="1"/>
    <col min="2669" max="2669" width="17.7109375" bestFit="1" customWidth="1"/>
    <col min="2670" max="2670" width="20.42578125" bestFit="1" customWidth="1"/>
  </cols>
  <sheetData>
    <row r="3" spans="1:13" x14ac:dyDescent="0.25">
      <c r="C3" t="s">
        <v>4408</v>
      </c>
      <c r="E3" t="s">
        <v>4409</v>
      </c>
      <c r="F3" t="s">
        <v>4410</v>
      </c>
      <c r="H3" t="s">
        <v>4417</v>
      </c>
    </row>
    <row r="4" spans="1:13" x14ac:dyDescent="0.25">
      <c r="C4" s="3">
        <v>49724.549999999981</v>
      </c>
      <c r="E4" s="7">
        <v>476</v>
      </c>
      <c r="F4" s="3">
        <v>3205.6164000000022</v>
      </c>
    </row>
    <row r="6" spans="1:13" x14ac:dyDescent="0.25">
      <c r="H6" t="s">
        <v>4418</v>
      </c>
    </row>
    <row r="7" spans="1:13" x14ac:dyDescent="0.25">
      <c r="I7" t="s">
        <v>4425</v>
      </c>
      <c r="J7" t="s">
        <v>4422</v>
      </c>
      <c r="K7" t="s">
        <v>4423</v>
      </c>
      <c r="L7" t="s">
        <v>4424</v>
      </c>
    </row>
    <row r="8" spans="1:13" x14ac:dyDescent="0.25">
      <c r="H8" t="s">
        <v>4419</v>
      </c>
      <c r="I8" s="6">
        <f>GETPIVOTDATA("Sales",$C$3)</f>
        <v>49724.549999999981</v>
      </c>
      <c r="J8" s="6">
        <f>GETPIVOTDATA("Sum of Sales",$A$10,"Years (Order Date)",2017)</f>
        <v>18636.951000000001</v>
      </c>
      <c r="K8" s="6">
        <f>B13</f>
        <v>10604.408000000001</v>
      </c>
      <c r="L8" s="5">
        <f>(J8-K8)/K8</f>
        <v>0.75747208142123523</v>
      </c>
      <c r="M8" t="str">
        <f>IF(L8&gt;0,"🔺","🔻")&amp;TEXT(ABS(L8),"0%")&amp; (" YOY")</f>
        <v>🔺76% YOY</v>
      </c>
    </row>
    <row r="9" spans="1:13" x14ac:dyDescent="0.25">
      <c r="H9" t="s">
        <v>4420</v>
      </c>
      <c r="I9" s="6">
        <f>GETPIVOTDATA("Quantity",$E$3)</f>
        <v>476</v>
      </c>
      <c r="J9" s="6">
        <f>GETPIVOTDATA("Sum of Quantity",$A$10,"Years (Order Date)",2017)</f>
        <v>182</v>
      </c>
      <c r="K9" s="6">
        <f>D13</f>
        <v>94</v>
      </c>
      <c r="L9" s="5">
        <f>(J9-K9)/K9</f>
        <v>0.93617021276595747</v>
      </c>
      <c r="M9" t="str">
        <f t="shared" ref="M9:M10" si="0">IF(L9&gt;0,"🔺","🔻")&amp;TEXT(ABS(L9),"0%")&amp; (" YOY")</f>
        <v>🔺94% YOY</v>
      </c>
    </row>
    <row r="10" spans="1:13" x14ac:dyDescent="0.25">
      <c r="A10" s="2" t="s">
        <v>4415</v>
      </c>
      <c r="B10" t="s">
        <v>4408</v>
      </c>
      <c r="C10" t="s">
        <v>4410</v>
      </c>
      <c r="D10" t="s">
        <v>4409</v>
      </c>
      <c r="H10" t="s">
        <v>4421</v>
      </c>
      <c r="I10" s="6">
        <f>GETPIVOTDATA("Profit",$F$3)</f>
        <v>3205.6164000000022</v>
      </c>
      <c r="J10" s="6">
        <f>GETPIVOTDATA("Sum of Profit",$A$10,"Years (Order Date)",2017)</f>
        <v>1622.2735000000002</v>
      </c>
      <c r="K10" s="6">
        <f>C13</f>
        <v>-511.80299999999994</v>
      </c>
      <c r="L10" s="5">
        <f>(J10-K10)/K10</f>
        <v>-4.1697225299578164</v>
      </c>
      <c r="M10" t="str">
        <f t="shared" si="0"/>
        <v>🔻417% YOY</v>
      </c>
    </row>
    <row r="11" spans="1:13" x14ac:dyDescent="0.25">
      <c r="A11" s="4" t="s">
        <v>4411</v>
      </c>
      <c r="B11" s="3">
        <v>8323.0570000000007</v>
      </c>
      <c r="C11" s="3">
        <v>1013.9958</v>
      </c>
      <c r="D11" s="3">
        <v>95</v>
      </c>
    </row>
    <row r="12" spans="1:13" x14ac:dyDescent="0.25">
      <c r="A12" s="4" t="s">
        <v>4412</v>
      </c>
      <c r="B12" s="3">
        <v>12160.133999999998</v>
      </c>
      <c r="C12" s="3">
        <v>1081.1500999999998</v>
      </c>
      <c r="D12" s="3">
        <v>105</v>
      </c>
    </row>
    <row r="13" spans="1:13" x14ac:dyDescent="0.25">
      <c r="A13" s="4" t="s">
        <v>4413</v>
      </c>
      <c r="B13" s="3">
        <v>10604.408000000001</v>
      </c>
      <c r="C13" s="3">
        <v>-511.80299999999994</v>
      </c>
      <c r="D13" s="3">
        <v>94</v>
      </c>
    </row>
    <row r="14" spans="1:13" x14ac:dyDescent="0.25">
      <c r="A14" s="4" t="s">
        <v>4414</v>
      </c>
      <c r="B14" s="3">
        <v>18636.951000000001</v>
      </c>
      <c r="C14" s="3">
        <v>1622.2735000000002</v>
      </c>
      <c r="D14" s="3">
        <v>182</v>
      </c>
    </row>
    <row r="15" spans="1:13" x14ac:dyDescent="0.25">
      <c r="A15" s="4" t="s">
        <v>4416</v>
      </c>
      <c r="B15" s="3">
        <v>49724.55</v>
      </c>
      <c r="C15" s="3">
        <v>3205.6164000000003</v>
      </c>
      <c r="D15" s="3">
        <v>476</v>
      </c>
    </row>
    <row r="19" spans="1:9" x14ac:dyDescent="0.25">
      <c r="A19" s="8" t="s">
        <v>4426</v>
      </c>
      <c r="B19" s="8"/>
      <c r="C19" t="str">
        <f>"Peak Sales Month: " &amp;
INDEX(A21:A32, MATCH(MAX(B21:B32), B21:B32, 0)) &amp;
" with " &amp; TEXT(MAX(B21:B32), "$#,##0") &amp; " in sales"</f>
        <v>Peak Sales Month: Dec with $11,593 in sales</v>
      </c>
    </row>
    <row r="20" spans="1:9" x14ac:dyDescent="0.25">
      <c r="A20" s="2" t="s">
        <v>4415</v>
      </c>
      <c r="B20" t="s">
        <v>4408</v>
      </c>
      <c r="E20" s="8" t="s">
        <v>4428</v>
      </c>
      <c r="F20" s="8"/>
      <c r="G20" t="str">
        <f>"Top Selling City : "&amp; INDEX(E22:E26,MATCH(MAX(F22:F26),F22:F26,0))&amp; "("&amp;TEXT(MAX(F22:F26),"#,##0")&amp;")"</f>
        <v>Top Selling City : Seattle(12,444)</v>
      </c>
    </row>
    <row r="21" spans="1:9" x14ac:dyDescent="0.25">
      <c r="A21" s="4" t="s">
        <v>169</v>
      </c>
      <c r="B21" s="6">
        <v>305.08800000000002</v>
      </c>
      <c r="E21" s="2" t="s">
        <v>4415</v>
      </c>
      <c r="F21" t="s">
        <v>4408</v>
      </c>
      <c r="I21" t="e">
        <f>MAX(H22:H26)*1.2</f>
        <v>#REF!</v>
      </c>
    </row>
    <row r="22" spans="1:9" x14ac:dyDescent="0.25">
      <c r="A22" s="4" t="s">
        <v>297</v>
      </c>
      <c r="B22" s="3">
        <v>1611.0509999999999</v>
      </c>
      <c r="E22" s="4" t="s">
        <v>730</v>
      </c>
      <c r="F22" s="6">
        <v>2054.2719999999999</v>
      </c>
      <c r="G22" t="str">
        <f>E22:E26</f>
        <v>Long Beach</v>
      </c>
      <c r="H22" s="6">
        <f>GETPIVOTDATA("Sales",$E$21,"City","Los Angeles")</f>
        <v>8297.9639999999999</v>
      </c>
      <c r="I22" s="6" t="e">
        <f>(I21-H22)</f>
        <v>#REF!</v>
      </c>
    </row>
    <row r="23" spans="1:9" x14ac:dyDescent="0.25">
      <c r="A23" s="4" t="s">
        <v>195</v>
      </c>
      <c r="B23" s="3">
        <v>2786.2060000000001</v>
      </c>
      <c r="E23" s="4" t="s">
        <v>52</v>
      </c>
      <c r="F23" s="6">
        <v>8297.9639999999999</v>
      </c>
      <c r="G23" t="str">
        <f t="shared" ref="G23:G26" si="1">E23:E27</f>
        <v>Los Angeles</v>
      </c>
      <c r="H23" s="6" t="e">
        <f>GETPIVOTDATA("Sales",$E$21,"City","New York City")</f>
        <v>#REF!</v>
      </c>
      <c r="I23" s="6" t="e">
        <f>I21-H23</f>
        <v>#REF!</v>
      </c>
    </row>
    <row r="24" spans="1:9" x14ac:dyDescent="0.25">
      <c r="A24" s="4" t="s">
        <v>113</v>
      </c>
      <c r="B24" s="3">
        <v>4775.732</v>
      </c>
      <c r="E24" s="4" t="s">
        <v>639</v>
      </c>
      <c r="F24" s="6">
        <v>5636.0099999999993</v>
      </c>
      <c r="G24" t="str">
        <f t="shared" si="1"/>
        <v>San Diego</v>
      </c>
      <c r="H24" s="6" t="e">
        <f>GETPIVOTDATA("Sales",$E$21,"City","Philadelphia")</f>
        <v>#REF!</v>
      </c>
      <c r="I24" s="6" t="e">
        <f>I21-H24</f>
        <v>#REF!</v>
      </c>
    </row>
    <row r="25" spans="1:9" x14ac:dyDescent="0.25">
      <c r="A25" s="4" t="s">
        <v>161</v>
      </c>
      <c r="B25" s="3">
        <v>3428.88</v>
      </c>
      <c r="E25" s="4" t="s">
        <v>328</v>
      </c>
      <c r="F25" s="6">
        <v>3772.2470000000003</v>
      </c>
      <c r="G25" t="str">
        <f t="shared" si="1"/>
        <v>San Francisco</v>
      </c>
      <c r="H25" s="6">
        <f>GETPIVOTDATA("Sales",$E$21,"City","San Francisco")</f>
        <v>3772.2470000000003</v>
      </c>
      <c r="I25" s="6" t="e">
        <f>I21-H25</f>
        <v>#REF!</v>
      </c>
    </row>
    <row r="26" spans="1:9" x14ac:dyDescent="0.25">
      <c r="A26" s="4" t="s">
        <v>59</v>
      </c>
      <c r="B26" s="3">
        <v>3345.2839999999997</v>
      </c>
      <c r="E26" s="4" t="s">
        <v>191</v>
      </c>
      <c r="F26" s="6">
        <v>12443.972</v>
      </c>
      <c r="G26" t="str">
        <f t="shared" si="1"/>
        <v>Seattle</v>
      </c>
      <c r="H26" s="6">
        <f>GETPIVOTDATA("Sales",$E$21,"City","Seattle")</f>
        <v>12443.972</v>
      </c>
      <c r="I26" s="6" t="e">
        <f>I21-H26</f>
        <v>#REF!</v>
      </c>
    </row>
    <row r="27" spans="1:9" x14ac:dyDescent="0.25">
      <c r="A27" s="4" t="s">
        <v>71</v>
      </c>
      <c r="B27" s="3">
        <v>1044.5890000000002</v>
      </c>
      <c r="E27" s="4" t="s">
        <v>4416</v>
      </c>
      <c r="F27" s="6">
        <v>32204.464999999997</v>
      </c>
    </row>
    <row r="28" spans="1:9" x14ac:dyDescent="0.25">
      <c r="A28" s="4" t="s">
        <v>253</v>
      </c>
      <c r="B28" s="3">
        <v>3338.87</v>
      </c>
    </row>
    <row r="29" spans="1:9" x14ac:dyDescent="0.25">
      <c r="A29" s="4" t="s">
        <v>77</v>
      </c>
      <c r="B29" s="3">
        <v>7422.0679999999993</v>
      </c>
    </row>
    <row r="30" spans="1:9" x14ac:dyDescent="0.25">
      <c r="A30" s="4" t="s">
        <v>48</v>
      </c>
      <c r="B30" s="3">
        <v>1934.296</v>
      </c>
    </row>
    <row r="31" spans="1:9" x14ac:dyDescent="0.25">
      <c r="A31" s="4" t="s">
        <v>34</v>
      </c>
      <c r="B31" s="3">
        <v>8139.6860000000015</v>
      </c>
    </row>
    <row r="32" spans="1:9" x14ac:dyDescent="0.25">
      <c r="A32" s="4" t="s">
        <v>96</v>
      </c>
      <c r="B32" s="3">
        <v>11592.8</v>
      </c>
      <c r="E32" s="8" t="s">
        <v>4430</v>
      </c>
      <c r="F32" s="8"/>
    </row>
    <row r="33" spans="1:6" x14ac:dyDescent="0.25">
      <c r="A33" s="4" t="s">
        <v>4416</v>
      </c>
      <c r="B33" s="3">
        <v>49724.55</v>
      </c>
    </row>
    <row r="34" spans="1:6" x14ac:dyDescent="0.25">
      <c r="E34" t="str">
        <f>"most orders("&amp; TEXT(MAX(F36:F43),"0%")&amp;") were deliverd in "&amp; INDEX(E36:E43,MATCH(MAX(F36:F43),F36:F43,0))&amp;""</f>
        <v>most orders(23%) were deliverd in 4-Days</v>
      </c>
    </row>
    <row r="35" spans="1:6" x14ac:dyDescent="0.25">
      <c r="E35" s="2" t="s">
        <v>4415</v>
      </c>
      <c r="F35" t="s">
        <v>4429</v>
      </c>
    </row>
    <row r="36" spans="1:6" x14ac:dyDescent="0.25">
      <c r="A36" s="8" t="s">
        <v>4427</v>
      </c>
      <c r="B36" s="8"/>
      <c r="E36" s="4" t="s">
        <v>430</v>
      </c>
      <c r="F36" s="10">
        <v>8.1967213114754092E-2</v>
      </c>
    </row>
    <row r="37" spans="1:6" x14ac:dyDescent="0.25">
      <c r="A37" s="2" t="s">
        <v>4415</v>
      </c>
      <c r="B37" t="s">
        <v>4408</v>
      </c>
      <c r="E37" s="4" t="s">
        <v>123</v>
      </c>
      <c r="F37" s="10">
        <v>8.1967213114754092E-2</v>
      </c>
    </row>
    <row r="38" spans="1:6" x14ac:dyDescent="0.25">
      <c r="A38" s="4" t="s">
        <v>520</v>
      </c>
      <c r="B38" s="6">
        <v>3853.8759999999997</v>
      </c>
      <c r="C38" s="4" t="s">
        <v>1276</v>
      </c>
      <c r="D38" s="6">
        <v>6332.48</v>
      </c>
      <c r="E38" s="4" t="s">
        <v>70</v>
      </c>
      <c r="F38" s="10">
        <v>0.14754098360655737</v>
      </c>
    </row>
    <row r="39" spans="1:6" x14ac:dyDescent="0.25">
      <c r="A39" s="4" t="s">
        <v>53</v>
      </c>
      <c r="B39" s="6">
        <v>28704.969000000005</v>
      </c>
      <c r="C39" s="4" t="s">
        <v>520</v>
      </c>
      <c r="D39" s="6">
        <v>13525.291000000001</v>
      </c>
      <c r="E39" s="4" t="s">
        <v>33</v>
      </c>
      <c r="F39" s="10">
        <v>8.1967213114754092E-2</v>
      </c>
    </row>
    <row r="40" spans="1:6" x14ac:dyDescent="0.25">
      <c r="A40" s="4" t="s">
        <v>180</v>
      </c>
      <c r="B40" s="6">
        <v>1561.44</v>
      </c>
      <c r="C40" s="4" t="s">
        <v>1058</v>
      </c>
      <c r="D40" s="6">
        <v>3187.55</v>
      </c>
      <c r="E40" s="4" t="s">
        <v>83</v>
      </c>
      <c r="F40" s="10">
        <v>0.22950819672131148</v>
      </c>
    </row>
    <row r="41" spans="1:6" x14ac:dyDescent="0.25">
      <c r="A41" s="4" t="s">
        <v>2280</v>
      </c>
      <c r="B41" s="6">
        <v>41.96</v>
      </c>
      <c r="C41" s="4" t="s">
        <v>53</v>
      </c>
      <c r="D41" s="6">
        <v>156064.60149999999</v>
      </c>
      <c r="E41" s="4" t="s">
        <v>58</v>
      </c>
      <c r="F41" s="10">
        <v>0.18852459016393441</v>
      </c>
    </row>
    <row r="42" spans="1:6" x14ac:dyDescent="0.25">
      <c r="A42" s="4" t="s">
        <v>3701</v>
      </c>
      <c r="B42" s="6">
        <v>63.98</v>
      </c>
      <c r="C42" s="4" t="s">
        <v>180</v>
      </c>
      <c r="D42" s="6">
        <v>13243.037</v>
      </c>
      <c r="E42" s="4" t="s">
        <v>129</v>
      </c>
      <c r="F42" s="10">
        <v>7.3770491803278687E-2</v>
      </c>
    </row>
    <row r="43" spans="1:6" x14ac:dyDescent="0.25">
      <c r="A43" s="4" t="s">
        <v>1340</v>
      </c>
      <c r="B43" s="6">
        <v>14.56</v>
      </c>
      <c r="C43" s="4" t="s">
        <v>429</v>
      </c>
      <c r="D43" s="6">
        <v>5174.9870000000001</v>
      </c>
      <c r="E43" s="4" t="s">
        <v>47</v>
      </c>
      <c r="F43" s="10">
        <v>0.11475409836065574</v>
      </c>
    </row>
    <row r="44" spans="1:6" x14ac:dyDescent="0.25">
      <c r="A44" s="4" t="s">
        <v>1517</v>
      </c>
      <c r="B44" s="6">
        <v>1359.1570000000002</v>
      </c>
      <c r="C44" s="4" t="s">
        <v>200</v>
      </c>
      <c r="D44" s="6">
        <v>4759.3189999999995</v>
      </c>
      <c r="E44" s="4" t="s">
        <v>4416</v>
      </c>
      <c r="F44" s="9">
        <v>1</v>
      </c>
    </row>
    <row r="45" spans="1:6" x14ac:dyDescent="0.25">
      <c r="A45" s="4" t="s">
        <v>76</v>
      </c>
      <c r="B45" s="6">
        <v>73.319999999999993</v>
      </c>
      <c r="C45" s="4" t="s">
        <v>980</v>
      </c>
      <c r="D45" s="6">
        <v>1346.58</v>
      </c>
    </row>
    <row r="46" spans="1:6" x14ac:dyDescent="0.25">
      <c r="A46" s="4" t="s">
        <v>192</v>
      </c>
      <c r="B46" s="6">
        <v>12448.152</v>
      </c>
      <c r="C46" s="4" t="s">
        <v>43</v>
      </c>
      <c r="D46" s="6">
        <v>22987.03799999999</v>
      </c>
    </row>
    <row r="47" spans="1:6" x14ac:dyDescent="0.25">
      <c r="A47" s="4" t="s">
        <v>3311</v>
      </c>
      <c r="B47" s="6">
        <v>1603.136</v>
      </c>
      <c r="C47" s="4" t="s">
        <v>667</v>
      </c>
      <c r="D47" s="6">
        <v>8321.48</v>
      </c>
      <c r="E47" s="8" t="s">
        <v>4431</v>
      </c>
      <c r="F47" s="8"/>
    </row>
    <row r="48" spans="1:6" x14ac:dyDescent="0.25">
      <c r="A48" s="4" t="s">
        <v>4416</v>
      </c>
      <c r="B48" s="6">
        <v>49724.55</v>
      </c>
      <c r="C48" s="4" t="s">
        <v>2280</v>
      </c>
      <c r="D48" s="6">
        <v>2595.482</v>
      </c>
      <c r="E48" t="str">
        <f xml:space="preserve"> "most order used " &amp; INDEX(E50:E53,MATCH(MAX(F50:F53),F50:F53,0))&amp;"(" &amp; TEXT(MAX(F50:F53),"0%")&amp;")"</f>
        <v>most order used Standard Class(52%)</v>
      </c>
    </row>
    <row r="49" spans="3:9" x14ac:dyDescent="0.25">
      <c r="C49" s="4" t="s">
        <v>134</v>
      </c>
      <c r="D49" s="6">
        <v>28274.522000000008</v>
      </c>
      <c r="E49" s="2" t="s">
        <v>4415</v>
      </c>
      <c r="F49" t="s">
        <v>4429</v>
      </c>
    </row>
    <row r="50" spans="3:9" x14ac:dyDescent="0.25">
      <c r="C50" s="4" t="s">
        <v>110</v>
      </c>
      <c r="D50" s="6">
        <v>11496.71</v>
      </c>
      <c r="E50" s="4" t="s">
        <v>87</v>
      </c>
      <c r="F50" s="9">
        <v>0.18852459016393441</v>
      </c>
    </row>
    <row r="51" spans="3:9" x14ac:dyDescent="0.25">
      <c r="C51" s="4" t="s">
        <v>801</v>
      </c>
      <c r="D51" s="6">
        <v>2642.3099999999995</v>
      </c>
      <c r="E51" s="4" t="s">
        <v>425</v>
      </c>
      <c r="F51" s="9">
        <v>9.8360655737704916E-2</v>
      </c>
    </row>
    <row r="52" spans="3:9" x14ac:dyDescent="0.25">
      <c r="C52" s="4" t="s">
        <v>3135</v>
      </c>
      <c r="D52" s="6">
        <v>111.12</v>
      </c>
      <c r="E52" s="4" t="s">
        <v>21</v>
      </c>
      <c r="F52" s="9">
        <v>0.18852459016393441</v>
      </c>
    </row>
    <row r="53" spans="3:9" x14ac:dyDescent="0.25">
      <c r="C53" s="4" t="s">
        <v>27</v>
      </c>
      <c r="D53" s="6">
        <v>12126.84</v>
      </c>
      <c r="E53" s="4" t="s">
        <v>39</v>
      </c>
      <c r="F53" s="9">
        <v>0.52459016393442626</v>
      </c>
    </row>
    <row r="54" spans="3:9" x14ac:dyDescent="0.25">
      <c r="C54" s="4" t="s">
        <v>1406</v>
      </c>
      <c r="D54" s="6">
        <v>2963.03</v>
      </c>
      <c r="E54" s="4" t="s">
        <v>4416</v>
      </c>
      <c r="F54" s="9">
        <v>1</v>
      </c>
    </row>
    <row r="55" spans="3:9" x14ac:dyDescent="0.25">
      <c r="C55" s="4" t="s">
        <v>1788</v>
      </c>
      <c r="D55" s="6">
        <v>109.48</v>
      </c>
    </row>
    <row r="56" spans="3:9" x14ac:dyDescent="0.25">
      <c r="C56" s="4" t="s">
        <v>1089</v>
      </c>
      <c r="D56" s="6">
        <v>9149.2529999999988</v>
      </c>
    </row>
    <row r="57" spans="3:9" x14ac:dyDescent="0.25">
      <c r="C57" s="4" t="s">
        <v>434</v>
      </c>
      <c r="D57" s="6">
        <v>10919.063999999997</v>
      </c>
    </row>
    <row r="58" spans="3:9" x14ac:dyDescent="0.25">
      <c r="C58" s="4" t="s">
        <v>289</v>
      </c>
      <c r="D58" s="6">
        <v>22321.099999999995</v>
      </c>
      <c r="E58" s="8" t="s">
        <v>4432</v>
      </c>
      <c r="F58" s="8"/>
    </row>
    <row r="59" spans="3:9" x14ac:dyDescent="0.25">
      <c r="C59" s="4" t="s">
        <v>166</v>
      </c>
      <c r="D59" s="6">
        <v>7611.35</v>
      </c>
      <c r="E59" t="str">
        <f>"Highest sales by Sub-categroy from :"&amp;INDEX(E61:E64,MATCH(MAX(F61:F64),F61:F64,0))&amp;"("&amp;TEXT(MAX(F61:F64),"$#,##0")&amp;")"</f>
        <v>Highest sales by Sub-categroy from :Chairs($22,022)</v>
      </c>
    </row>
    <row r="60" spans="3:9" x14ac:dyDescent="0.25">
      <c r="C60" s="4" t="s">
        <v>478</v>
      </c>
      <c r="D60" s="6">
        <v>4317.8499999999995</v>
      </c>
      <c r="E60" s="2" t="s">
        <v>4415</v>
      </c>
      <c r="F60" t="s">
        <v>4408</v>
      </c>
      <c r="I60">
        <f>MAX(H61:H64)*1.2</f>
        <v>394138.92360000091</v>
      </c>
    </row>
    <row r="61" spans="3:9" x14ac:dyDescent="0.25">
      <c r="C61" s="4" t="s">
        <v>565</v>
      </c>
      <c r="D61" s="6">
        <v>2936.45</v>
      </c>
      <c r="E61" s="4" t="s">
        <v>31</v>
      </c>
      <c r="F61" s="6">
        <v>5062.2569999999987</v>
      </c>
      <c r="G61" s="4" t="s">
        <v>31</v>
      </c>
      <c r="H61" s="6">
        <v>114879.99629999997</v>
      </c>
      <c r="I61" s="6">
        <f>$I$60-H61</f>
        <v>279258.92730000091</v>
      </c>
    </row>
    <row r="62" spans="3:9" x14ac:dyDescent="0.25">
      <c r="C62" s="4" t="s">
        <v>3701</v>
      </c>
      <c r="D62" s="6">
        <v>63.98</v>
      </c>
      <c r="E62" s="4" t="s">
        <v>36</v>
      </c>
      <c r="F62" s="6">
        <v>22022.096000000001</v>
      </c>
      <c r="G62" s="4" t="s">
        <v>36</v>
      </c>
      <c r="H62" s="6">
        <v>328449.10300000076</v>
      </c>
      <c r="I62" s="6">
        <f t="shared" ref="I62:I64" si="2">$I$60-H62</f>
        <v>65689.820600000152</v>
      </c>
    </row>
    <row r="63" spans="3:9" x14ac:dyDescent="0.25">
      <c r="C63" s="4" t="s">
        <v>841</v>
      </c>
      <c r="D63" s="6">
        <v>1944.7</v>
      </c>
      <c r="E63" s="4" t="s">
        <v>56</v>
      </c>
      <c r="F63" s="6">
        <v>6631.0119999999979</v>
      </c>
      <c r="G63" s="4" t="s">
        <v>56</v>
      </c>
      <c r="H63" s="6">
        <v>91705.164000000048</v>
      </c>
      <c r="I63" s="6">
        <f t="shared" si="2"/>
        <v>302433.75960000086</v>
      </c>
    </row>
    <row r="64" spans="3:9" x14ac:dyDescent="0.25">
      <c r="C64" s="4" t="s">
        <v>1340</v>
      </c>
      <c r="D64" s="6">
        <v>4635.1720000000005</v>
      </c>
      <c r="E64" s="4" t="s">
        <v>45</v>
      </c>
      <c r="F64" s="6">
        <v>16009.184999999999</v>
      </c>
      <c r="G64" s="4" t="s">
        <v>45</v>
      </c>
      <c r="H64" s="6">
        <v>206965.53200000009</v>
      </c>
      <c r="I64" s="6">
        <f t="shared" si="2"/>
        <v>187173.39160000082</v>
      </c>
    </row>
    <row r="65" spans="3:6" x14ac:dyDescent="0.25">
      <c r="C65" s="4" t="s">
        <v>884</v>
      </c>
      <c r="D65" s="6">
        <v>1886.4739999999999</v>
      </c>
      <c r="E65" s="4" t="s">
        <v>4416</v>
      </c>
      <c r="F65" s="6">
        <v>49724.549999999996</v>
      </c>
    </row>
    <row r="66" spans="3:6" x14ac:dyDescent="0.25">
      <c r="C66" s="4" t="s">
        <v>362</v>
      </c>
      <c r="D66" s="6">
        <v>6307.0419999999995</v>
      </c>
    </row>
    <row r="67" spans="3:6" x14ac:dyDescent="0.25">
      <c r="C67" s="4" t="s">
        <v>1896</v>
      </c>
      <c r="D67" s="6">
        <v>1701.412</v>
      </c>
    </row>
    <row r="68" spans="3:6" x14ac:dyDescent="0.25">
      <c r="C68" s="4" t="s">
        <v>120</v>
      </c>
      <c r="D68" s="6">
        <v>93372.728999999978</v>
      </c>
    </row>
    <row r="69" spans="3:6" x14ac:dyDescent="0.25">
      <c r="C69" s="4" t="s">
        <v>1036</v>
      </c>
      <c r="D69" s="6">
        <v>15155.483999999999</v>
      </c>
    </row>
    <row r="70" spans="3:6" x14ac:dyDescent="0.25">
      <c r="C70" s="4" t="s">
        <v>231</v>
      </c>
      <c r="D70" s="6">
        <v>24199.144999999993</v>
      </c>
    </row>
    <row r="71" spans="3:6" x14ac:dyDescent="0.25">
      <c r="C71" s="4" t="s">
        <v>1522</v>
      </c>
      <c r="D71" s="6">
        <v>8284.1</v>
      </c>
    </row>
    <row r="72" spans="3:6" x14ac:dyDescent="0.25">
      <c r="C72" s="4" t="s">
        <v>1517</v>
      </c>
      <c r="D72" s="6">
        <v>6338.1299999999992</v>
      </c>
    </row>
    <row r="73" spans="3:6" x14ac:dyDescent="0.25">
      <c r="C73" s="4" t="s">
        <v>66</v>
      </c>
      <c r="D73" s="6">
        <v>39354.931000000004</v>
      </c>
    </row>
    <row r="74" spans="3:6" x14ac:dyDescent="0.25">
      <c r="C74" s="4" t="s">
        <v>1645</v>
      </c>
      <c r="D74" s="6">
        <v>5918.7560000000003</v>
      </c>
    </row>
    <row r="75" spans="3:6" x14ac:dyDescent="0.25">
      <c r="C75" s="4" t="s">
        <v>158</v>
      </c>
      <c r="D75" s="6">
        <v>3078.25</v>
      </c>
    </row>
    <row r="76" spans="3:6" x14ac:dyDescent="0.25">
      <c r="C76" s="4" t="s">
        <v>1826</v>
      </c>
      <c r="D76" s="6">
        <v>324.89999999999998</v>
      </c>
    </row>
    <row r="77" spans="3:6" x14ac:dyDescent="0.25">
      <c r="C77" s="4" t="s">
        <v>141</v>
      </c>
      <c r="D77" s="6">
        <v>13506.732</v>
      </c>
    </row>
    <row r="78" spans="3:6" x14ac:dyDescent="0.25">
      <c r="C78" s="4" t="s">
        <v>92</v>
      </c>
      <c r="D78" s="6">
        <v>60593.291799999992</v>
      </c>
    </row>
    <row r="79" spans="3:6" x14ac:dyDescent="0.25">
      <c r="C79" s="4" t="s">
        <v>76</v>
      </c>
      <c r="D79" s="6">
        <v>4822.3499999999995</v>
      </c>
    </row>
    <row r="80" spans="3:6" x14ac:dyDescent="0.25">
      <c r="C80" s="4" t="s">
        <v>3106</v>
      </c>
      <c r="D80" s="6">
        <v>5120.0999999999995</v>
      </c>
    </row>
    <row r="81" spans="3:4" x14ac:dyDescent="0.25">
      <c r="C81" s="4" t="s">
        <v>716</v>
      </c>
      <c r="D81" s="6">
        <v>25321.949999999993</v>
      </c>
    </row>
    <row r="82" spans="3:4" x14ac:dyDescent="0.25">
      <c r="C82" s="4" t="s">
        <v>192</v>
      </c>
      <c r="D82" s="6">
        <v>48020.151999999973</v>
      </c>
    </row>
    <row r="83" spans="3:4" x14ac:dyDescent="0.25">
      <c r="C83" s="4" t="s">
        <v>4286</v>
      </c>
      <c r="D83" s="6">
        <v>673.34400000000005</v>
      </c>
    </row>
    <row r="84" spans="3:4" x14ac:dyDescent="0.25">
      <c r="C84" s="4" t="s">
        <v>238</v>
      </c>
      <c r="D84" s="6">
        <v>17256.609999999997</v>
      </c>
    </row>
    <row r="85" spans="3:4" x14ac:dyDescent="0.25">
      <c r="C85" s="4" t="s">
        <v>3311</v>
      </c>
      <c r="D85" s="6">
        <v>1603.136</v>
      </c>
    </row>
  </sheetData>
  <mergeCells count="6">
    <mergeCell ref="A19:B19"/>
    <mergeCell ref="A36:B36"/>
    <mergeCell ref="E20:F20"/>
    <mergeCell ref="E32:F32"/>
    <mergeCell ref="E47:F47"/>
    <mergeCell ref="E58:F58"/>
  </mergeCell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EF06-C923-4301-9AD7-629DAB453548}">
  <dimension ref="A1"/>
  <sheetViews>
    <sheetView showGridLines="0" tabSelected="1" topLeftCell="F1" zoomScale="65" zoomScaleNormal="62" workbookViewId="0">
      <selection activeCell="H42" sqref="H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706F64-97F2-4C6D-9BDB-5099A8714A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Sheet2</vt:lpstr>
      <vt:lpstr>Sheet3</vt:lpstr>
      <vt:lpstr>Sheet1</vt:lpstr>
      <vt:lpstr>city</vt:lpstr>
      <vt:lpstr>citysel</vt:lpstr>
      <vt:lpstr>duration</vt:lpstr>
      <vt:lpstr>profit</vt:lpstr>
      <vt:lpstr>profityoy</vt:lpstr>
      <vt:lpstr>quantity</vt:lpstr>
      <vt:lpstr>quantityyoy</vt:lpstr>
      <vt:lpstr>sales</vt:lpstr>
      <vt:lpstr>salestrends</vt:lpstr>
      <vt:lpstr>salesyoy</vt:lpstr>
      <vt:lpstr>shipmode</vt:lpstr>
      <vt:lpstr>subcategory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Loganathan Balan</dc:creator>
  <cp:lastModifiedBy>Loganathan Balan</cp:lastModifiedBy>
  <dcterms:created xsi:type="dcterms:W3CDTF">2025-11-24T16:19:23Z</dcterms:created>
  <dcterms:modified xsi:type="dcterms:W3CDTF">2025-11-25T07:05:37Z</dcterms:modified>
</cp:coreProperties>
</file>